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E27A7EEE-5F46-419F-AA91-164626FE7B5A}" xr6:coauthVersionLast="36" xr6:coauthVersionMax="47" xr10:uidLastSave="{00000000-0000-0000-0000-000000000000}"/>
  <bookViews>
    <workbookView xWindow="0" yWindow="0" windowWidth="19200" windowHeight="6936" activeTab="1" xr2:uid="{00000000-000D-0000-FFFF-FFFF00000000}"/>
  </bookViews>
  <sheets>
    <sheet name="Tabelle1" sheetId="1" r:id="rId1"/>
    <sheet name="Tabelle2" sheetId="2" r:id="rId2"/>
  </sheets>
  <definedNames>
    <definedName name="_xlnm._FilterDatabase" localSheetId="0" hidden="1">Tabelle1!$A$2:$AD$48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M4" i="1" s="1"/>
  <c r="O4" i="1" s="1"/>
  <c r="L5" i="1"/>
  <c r="M5" i="1" s="1"/>
  <c r="O5" i="1" s="1"/>
  <c r="L6" i="1"/>
  <c r="M6" i="1" s="1"/>
  <c r="O6" i="1" s="1"/>
  <c r="L7" i="1"/>
  <c r="M7" i="1" s="1"/>
  <c r="L8" i="1"/>
  <c r="M8" i="1" s="1"/>
  <c r="L9" i="1"/>
  <c r="M9" i="1" s="1"/>
  <c r="O9" i="1" s="1"/>
  <c r="L10" i="1"/>
  <c r="M10" i="1" s="1"/>
  <c r="O10" i="1" s="1"/>
  <c r="L11" i="1"/>
  <c r="M11" i="1" s="1"/>
  <c r="O11" i="1" s="1"/>
  <c r="L12" i="1"/>
  <c r="M12" i="1" s="1"/>
  <c r="O12" i="1" s="1"/>
  <c r="L13" i="1"/>
  <c r="M13" i="1" s="1"/>
  <c r="O13" i="1" s="1"/>
  <c r="L14" i="1"/>
  <c r="M14" i="1" s="1"/>
  <c r="O14" i="1" s="1"/>
  <c r="L15" i="1"/>
  <c r="M15" i="1" s="1"/>
  <c r="O15" i="1" s="1"/>
  <c r="L16" i="1"/>
  <c r="M16" i="1" s="1"/>
  <c r="O16" i="1" s="1"/>
  <c r="L17" i="1"/>
  <c r="M17" i="1" s="1"/>
  <c r="O17" i="1" s="1"/>
  <c r="L18" i="1"/>
  <c r="M18" i="1" s="1"/>
  <c r="O18" i="1" s="1"/>
  <c r="L19" i="1"/>
  <c r="M19" i="1" s="1"/>
  <c r="O19" i="1" s="1"/>
  <c r="L20" i="1"/>
  <c r="M20" i="1" s="1"/>
  <c r="O20" i="1" s="1"/>
  <c r="L21" i="1"/>
  <c r="M21" i="1" s="1"/>
  <c r="O21" i="1" s="1"/>
  <c r="L22" i="1"/>
  <c r="M22" i="1" s="1"/>
  <c r="O22" i="1" s="1"/>
  <c r="L23" i="1"/>
  <c r="M23" i="1" s="1"/>
  <c r="O23" i="1" s="1"/>
  <c r="L24" i="1"/>
  <c r="M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O28" i="1" s="1"/>
  <c r="L29" i="1"/>
  <c r="M29" i="1" s="1"/>
  <c r="O29" i="1" s="1"/>
  <c r="L30" i="1"/>
  <c r="M30" i="1" s="1"/>
  <c r="O30" i="1" s="1"/>
  <c r="L31" i="1"/>
  <c r="M31" i="1" s="1"/>
  <c r="O31" i="1" s="1"/>
  <c r="L32" i="1"/>
  <c r="M32" i="1" s="1"/>
  <c r="O32" i="1" s="1"/>
  <c r="L33" i="1"/>
  <c r="M33" i="1" s="1"/>
  <c r="O33" i="1" s="1"/>
  <c r="L34" i="1"/>
  <c r="M34" i="1" s="1"/>
  <c r="O34" i="1" s="1"/>
  <c r="L35" i="1"/>
  <c r="M35" i="1" s="1"/>
  <c r="O35" i="1" s="1"/>
  <c r="L36" i="1"/>
  <c r="M36" i="1" s="1"/>
  <c r="O36" i="1" s="1"/>
  <c r="L37" i="1"/>
  <c r="M37" i="1" s="1"/>
  <c r="O37" i="1" s="1"/>
  <c r="L38" i="1"/>
  <c r="M38" i="1" s="1"/>
  <c r="O38" i="1" s="1"/>
  <c r="L39" i="1"/>
  <c r="M39" i="1" s="1"/>
  <c r="O39" i="1" s="1"/>
  <c r="L40" i="1"/>
  <c r="M40" i="1" s="1"/>
  <c r="L41" i="1"/>
  <c r="M41" i="1" s="1"/>
  <c r="O41" i="1" s="1"/>
  <c r="L42" i="1"/>
  <c r="M42" i="1" s="1"/>
  <c r="O42" i="1" s="1"/>
  <c r="L43" i="1"/>
  <c r="M43" i="1" s="1"/>
  <c r="O43" i="1" s="1"/>
  <c r="L44" i="1"/>
  <c r="M44" i="1" s="1"/>
  <c r="O44" i="1" s="1"/>
  <c r="L45" i="1"/>
  <c r="M45" i="1" s="1"/>
  <c r="O45" i="1" s="1"/>
  <c r="L46" i="1"/>
  <c r="M46" i="1" s="1"/>
  <c r="O46" i="1" s="1"/>
  <c r="L47" i="1"/>
  <c r="M47" i="1" s="1"/>
  <c r="O47" i="1" s="1"/>
  <c r="L48" i="1"/>
  <c r="M48" i="1" s="1"/>
  <c r="O48" i="1" s="1"/>
  <c r="L3" i="1"/>
  <c r="M3" i="1" s="1"/>
  <c r="O3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3" i="1"/>
  <c r="P18" i="1" l="1"/>
  <c r="Q7" i="1"/>
  <c r="O7" i="1"/>
  <c r="S8" i="1"/>
  <c r="O8" i="1"/>
  <c r="S40" i="1"/>
  <c r="O40" i="1"/>
  <c r="P17" i="1"/>
  <c r="P3" i="1"/>
  <c r="P46" i="1"/>
  <c r="P30" i="1"/>
  <c r="S24" i="1"/>
  <c r="O24" i="1"/>
  <c r="Q29" i="1"/>
  <c r="P8" i="1"/>
  <c r="S23" i="1"/>
  <c r="Q22" i="1"/>
  <c r="Q35" i="1"/>
  <c r="Q19" i="1"/>
  <c r="P24" i="1"/>
  <c r="S7" i="1"/>
  <c r="P40" i="1"/>
  <c r="S39" i="1"/>
  <c r="S36" i="1"/>
  <c r="S20" i="1"/>
  <c r="S4" i="1"/>
  <c r="Q38" i="1"/>
  <c r="P33" i="1"/>
  <c r="P14" i="1"/>
  <c r="Q45" i="1"/>
  <c r="Q13" i="1"/>
  <c r="Q6" i="1"/>
  <c r="S15" i="1"/>
  <c r="P48" i="1"/>
  <c r="P31" i="1"/>
  <c r="S47" i="1"/>
  <c r="Q16" i="1"/>
  <c r="P32" i="1"/>
  <c r="P16" i="1"/>
  <c r="P47" i="1"/>
  <c r="P15" i="1"/>
  <c r="P44" i="1"/>
  <c r="P12" i="1"/>
  <c r="Q26" i="1"/>
  <c r="Q10" i="1"/>
  <c r="P11" i="1"/>
  <c r="Q41" i="1"/>
  <c r="S41" i="1"/>
  <c r="P41" i="1"/>
  <c r="Q9" i="1"/>
  <c r="S9" i="1"/>
  <c r="P9" i="1"/>
  <c r="P34" i="1"/>
  <c r="Q48" i="1"/>
  <c r="Q32" i="1"/>
  <c r="S31" i="1"/>
  <c r="P28" i="1"/>
  <c r="Q42" i="1"/>
  <c r="P43" i="1"/>
  <c r="P27" i="1"/>
  <c r="Q25" i="1"/>
  <c r="S25" i="1"/>
  <c r="P25" i="1"/>
  <c r="P42" i="1"/>
  <c r="P26" i="1"/>
  <c r="P10" i="1"/>
  <c r="P37" i="1"/>
  <c r="P21" i="1"/>
  <c r="S5" i="1"/>
  <c r="P35" i="1"/>
  <c r="P19" i="1"/>
  <c r="Q39" i="1"/>
  <c r="S37" i="1"/>
  <c r="P39" i="1"/>
  <c r="P23" i="1"/>
  <c r="P7" i="1"/>
  <c r="Q37" i="1"/>
  <c r="Q21" i="1"/>
  <c r="Q5" i="1"/>
  <c r="S35" i="1"/>
  <c r="S19" i="1"/>
  <c r="Q23" i="1"/>
  <c r="S21" i="1"/>
  <c r="P38" i="1"/>
  <c r="P22" i="1"/>
  <c r="P6" i="1"/>
  <c r="Q36" i="1"/>
  <c r="Q20" i="1"/>
  <c r="Q4" i="1"/>
  <c r="S34" i="1"/>
  <c r="S18" i="1"/>
  <c r="P5" i="1"/>
  <c r="S3" i="1"/>
  <c r="S33" i="1"/>
  <c r="S17" i="1"/>
  <c r="P36" i="1"/>
  <c r="P20" i="1"/>
  <c r="P4" i="1"/>
  <c r="Q34" i="1"/>
  <c r="Q18" i="1"/>
  <c r="S48" i="1"/>
  <c r="S32" i="1"/>
  <c r="S16" i="1"/>
  <c r="S14" i="1"/>
  <c r="S30" i="1"/>
  <c r="Q47" i="1"/>
  <c r="Q31" i="1"/>
  <c r="Q15" i="1"/>
  <c r="S45" i="1"/>
  <c r="S29" i="1"/>
  <c r="S13" i="1"/>
  <c r="Q3" i="1"/>
  <c r="Q33" i="1"/>
  <c r="Q17" i="1"/>
  <c r="Q46" i="1"/>
  <c r="Q30" i="1"/>
  <c r="Q14" i="1"/>
  <c r="S44" i="1"/>
  <c r="S28" i="1"/>
  <c r="S12" i="1"/>
  <c r="S43" i="1"/>
  <c r="S27" i="1"/>
  <c r="S11" i="1"/>
  <c r="S46" i="1"/>
  <c r="Q44" i="1"/>
  <c r="Q28" i="1"/>
  <c r="Q12" i="1"/>
  <c r="S42" i="1"/>
  <c r="S26" i="1"/>
  <c r="S10" i="1"/>
  <c r="P45" i="1"/>
  <c r="P29" i="1"/>
  <c r="P13" i="1"/>
  <c r="Q43" i="1"/>
  <c r="Q27" i="1"/>
  <c r="Q11" i="1"/>
  <c r="Q40" i="1"/>
  <c r="Q24" i="1"/>
  <c r="Q8" i="1"/>
  <c r="S38" i="1"/>
  <c r="S22" i="1"/>
  <c r="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6" authorId="0" shapeId="0" xr:uid="{473BB43C-931A-4D1E-8E51-FD3C4BB7C938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h_Vent*A_C_Ref (vgl. Common calculation method) [W/K]</t>
        </r>
      </text>
    </comment>
    <comment ref="B17" authorId="0" shapeId="0" xr:uid="{1DA7E673-0D5E-47AC-BF71-54F3A5ABCA3C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(3 W/m² * A_Ref) [W]</t>
        </r>
      </text>
    </comment>
    <comment ref="D22" authorId="0" shapeId="0" xr:uid="{CF55BEEE-B823-4D7B-9316-C3E2AF64B22D}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Extra Klasse Heizsystem?</t>
        </r>
      </text>
    </comment>
    <comment ref="B41" authorId="0" shapeId="0" xr:uid="{66D4D9B5-FC59-4459-9DB7-C5051D4F4D55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[W/K]</t>
        </r>
      </text>
    </comment>
    <comment ref="B42" authorId="0" shapeId="0" xr:uid="{9F9B7CFF-E64C-4A05-A770-FEB9102B5579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Hilfsspalte [W/m²K]</t>
        </r>
      </text>
    </comment>
    <comment ref="D53" authorId="0" shapeId="0" xr:uid="{A79E54EC-F974-4508-A693-73C4F8160715}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Vielleicht BuildableObject.location?</t>
        </r>
      </text>
    </comment>
  </commentList>
</comments>
</file>

<file path=xl/sharedStrings.xml><?xml version="1.0" encoding="utf-8"?>
<sst xmlns="http://schemas.openxmlformats.org/spreadsheetml/2006/main" count="987" uniqueCount="151">
  <si>
    <t>Gebäude</t>
  </si>
  <si>
    <t>Heizsystem</t>
  </si>
  <si>
    <t>HausNR.:</t>
  </si>
  <si>
    <t>Gebäudetyp</t>
  </si>
  <si>
    <t>Wohnung 1</t>
  </si>
  <si>
    <t>Wohnung 2</t>
  </si>
  <si>
    <t>NGF [m²]</t>
  </si>
  <si>
    <t>Ausrichtung</t>
  </si>
  <si>
    <t>Länge [m]</t>
  </si>
  <si>
    <t>Breite [m]</t>
  </si>
  <si>
    <t>Geschosse</t>
  </si>
  <si>
    <t>Firsthöhe [m]</t>
  </si>
  <si>
    <t>Dachform</t>
  </si>
  <si>
    <t>Dachneigung [°]</t>
  </si>
  <si>
    <t>Dachhöhe [m]</t>
  </si>
  <si>
    <t>Dachüberstand [m]</t>
  </si>
  <si>
    <t>Dachfläche (eine Seite) [m²]</t>
  </si>
  <si>
    <t>FrontFassade (eine Seite) [m²]</t>
  </si>
  <si>
    <t>SeitenFassade (eine Seite) [m²]</t>
  </si>
  <si>
    <t>Dicke Zwischendecke [m]</t>
  </si>
  <si>
    <t>BeheiztesVolumen [m³]</t>
  </si>
  <si>
    <t>Gebäudehülle</t>
  </si>
  <si>
    <t>Wärmeübergabe</t>
  </si>
  <si>
    <t>Vorlauftemperatur [°C]</t>
  </si>
  <si>
    <t>Typ</t>
  </si>
  <si>
    <t>Hersteller</t>
  </si>
  <si>
    <t>Kennfeld/COP</t>
  </si>
  <si>
    <t>Kennfeld/EER</t>
  </si>
  <si>
    <t>thermischer Speicher [l]</t>
  </si>
  <si>
    <t>elektrischer Speicher</t>
  </si>
  <si>
    <t>Trink-Warmwasser-System</t>
  </si>
  <si>
    <t>inst. PV-Leistung [kWp]</t>
  </si>
  <si>
    <t>elektrische Haus-Anschlussleistung [kW]</t>
  </si>
  <si>
    <t>Schaltzeiteneinschränkung WP</t>
  </si>
  <si>
    <t>Schaltzeiteneinschränkung Ladesäule</t>
  </si>
  <si>
    <t>MFH</t>
  </si>
  <si>
    <t>NS</t>
  </si>
  <si>
    <t>Satteldach</t>
  </si>
  <si>
    <t>KFW-55</t>
  </si>
  <si>
    <t>Flächenheizung</t>
  </si>
  <si>
    <t>Split Luft-Wasser-Wärmepumpe</t>
  </si>
  <si>
    <t>Generisch</t>
  </si>
  <si>
    <t>Kennfeld</t>
  </si>
  <si>
    <t>ohne Vorgabe</t>
  </si>
  <si>
    <t>ohne</t>
  </si>
  <si>
    <t>wie Heizsystem</t>
  </si>
  <si>
    <t>keine Vorgabe</t>
  </si>
  <si>
    <t>keine</t>
  </si>
  <si>
    <t>OW</t>
  </si>
  <si>
    <t>ONOWSW</t>
  </si>
  <si>
    <t>EFH</t>
  </si>
  <si>
    <t>NOSW</t>
  </si>
  <si>
    <t>Klasse</t>
  </si>
  <si>
    <t>Attribut</t>
  </si>
  <si>
    <t>Building</t>
  </si>
  <si>
    <t>ID</t>
  </si>
  <si>
    <t>building_type</t>
  </si>
  <si>
    <t>Household</t>
  </si>
  <si>
    <t>number_of_residents</t>
  </si>
  <si>
    <t>building_area</t>
  </si>
  <si>
    <t>orientation</t>
  </si>
  <si>
    <t>building_length</t>
  </si>
  <si>
    <t>building_width</t>
  </si>
  <si>
    <t>number_of_floors</t>
  </si>
  <si>
    <t>ridge_height</t>
  </si>
  <si>
    <t>size_false_ceiling</t>
  </si>
  <si>
    <t>BuildingPhysics</t>
  </si>
  <si>
    <t>heated_volume</t>
  </si>
  <si>
    <t>state_of_renovation</t>
  </si>
  <si>
    <t>heating_type</t>
  </si>
  <si>
    <t>flow_temperature</t>
  </si>
  <si>
    <t>HeatPump</t>
  </si>
  <si>
    <t>type</t>
  </si>
  <si>
    <t>producer</t>
  </si>
  <si>
    <t>COP</t>
  </si>
  <si>
    <t>?</t>
  </si>
  <si>
    <t>ThermalStorage</t>
  </si>
  <si>
    <t>capacity</t>
  </si>
  <si>
    <t>Battery</t>
  </si>
  <si>
    <t>PhotovoltaicSystem</t>
  </si>
  <si>
    <t>nominal_power</t>
  </si>
  <si>
    <t>DeliveryContract</t>
  </si>
  <si>
    <t>shutoff_time_hp</t>
  </si>
  <si>
    <t>shutoff_time_chargingpole</t>
  </si>
  <si>
    <t>Code_BuildingVariant</t>
  </si>
  <si>
    <t>Region</t>
  </si>
  <si>
    <t>Altersklasse</t>
  </si>
  <si>
    <t>Haustyp</t>
  </si>
  <si>
    <t>Sanierungsgrad</t>
  </si>
  <si>
    <t>Year1_Building</t>
  </si>
  <si>
    <t>Year2_Building</t>
  </si>
  <si>
    <t>A_C_Ref</t>
  </si>
  <si>
    <t>A_tot</t>
  </si>
  <si>
    <t>A_Roof_ext</t>
  </si>
  <si>
    <t>A_Roof_unh</t>
  </si>
  <si>
    <t>A_Wall_soil</t>
  </si>
  <si>
    <t>A_Floor_cellar</t>
  </si>
  <si>
    <t>A_Floor_soil</t>
  </si>
  <si>
    <t>A_Door_1</t>
  </si>
  <si>
    <t>U_Actual_Roof_ext</t>
  </si>
  <si>
    <t>U_Actual_Roof_unh</t>
  </si>
  <si>
    <t>U_Actual_Wall_ext</t>
  </si>
  <si>
    <t>U_Actual_Wall_soil</t>
  </si>
  <si>
    <t>U_Actual_Floor_cellar</t>
  </si>
  <si>
    <t>U_Actual_Floor_soil</t>
  </si>
  <si>
    <t>U_Actual_Window_vertikal</t>
  </si>
  <si>
    <t>U_Actual_Window_horizontal</t>
  </si>
  <si>
    <t>U_Actual_Door_1</t>
  </si>
  <si>
    <t xml:space="preserve">H_Transmission_ThermalBridging </t>
  </si>
  <si>
    <t xml:space="preserve">h_Ventilation </t>
  </si>
  <si>
    <t>H_ve</t>
  </si>
  <si>
    <t xml:space="preserve">phi_int  </t>
  </si>
  <si>
    <t>g_gl_n_Window_vertikal</t>
  </si>
  <si>
    <t>g_gl_n_Window_horizontal</t>
  </si>
  <si>
    <t>Werte Lindenallee</t>
  </si>
  <si>
    <t>A_Wall_East, South, West, North</t>
  </si>
  <si>
    <t>Site</t>
  </si>
  <si>
    <t>region</t>
  </si>
  <si>
    <t>Parameter Referenzszenario</t>
  </si>
  <si>
    <t>age_class</t>
  </si>
  <si>
    <t>A_Window_East, South, West, North, Horizontal</t>
  </si>
  <si>
    <t>trans_heatloss</t>
  </si>
  <si>
    <t>vent_heatloss</t>
  </si>
  <si>
    <t>year_of_construction</t>
  </si>
  <si>
    <t>BuildingElements</t>
  </si>
  <si>
    <t>Contract</t>
  </si>
  <si>
    <t>x</t>
  </si>
  <si>
    <t>Spalte1</t>
  </si>
  <si>
    <t>Roof</t>
  </si>
  <si>
    <t>Wall</t>
  </si>
  <si>
    <t>Floor</t>
  </si>
  <si>
    <t>height</t>
  </si>
  <si>
    <t>overhang</t>
  </si>
  <si>
    <t>area_ext</t>
  </si>
  <si>
    <t>hot_water_system</t>
  </si>
  <si>
    <t>installed_power</t>
  </si>
  <si>
    <t>area_unh</t>
  </si>
  <si>
    <t>area</t>
  </si>
  <si>
    <t>area_soil</t>
  </si>
  <si>
    <t>area_cellar</t>
  </si>
  <si>
    <t>Window</t>
  </si>
  <si>
    <t>Door</t>
  </si>
  <si>
    <t>u_ext</t>
  </si>
  <si>
    <t>u_unh</t>
  </si>
  <si>
    <t>u_soil</t>
  </si>
  <si>
    <t>u_cellar</t>
  </si>
  <si>
    <t>u_vertical</t>
  </si>
  <si>
    <t>u_horizontal</t>
  </si>
  <si>
    <t>u_value</t>
  </si>
  <si>
    <t>HeatingSystem</t>
  </si>
  <si>
    <t>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</si>
</sst>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1" xfId="0" applyFont="1" applyFill="1" applyBorder="1"/>
    <xf numFmtId="0" fontId="0" fillId="4" borderId="3" xfId="0" applyFont="1" applyFill="1" applyBorder="1"/>
    <xf numFmtId="0" fontId="0" fillId="4" borderId="3" xfId="0" applyFill="1" applyBorder="1"/>
    <xf numFmtId="0" fontId="0" fillId="0" borderId="1" xfId="0" applyBorder="1"/>
    <xf numFmtId="0" fontId="0" fillId="3" borderId="0" xfId="0" applyFill="1"/>
    <xf numFmtId="0" fontId="0" fillId="0" borderId="1" xfId="0" applyFill="1" applyBorder="1"/>
    <xf numFmtId="0" fontId="0" fillId="0" borderId="7" xfId="0" applyFill="1" applyBorder="1"/>
    <xf numFmtId="0" fontId="0" fillId="0" borderId="0" xfId="0" applyAlignment="1">
      <alignment horizontal="center"/>
    </xf>
  </cellXfs>
  <cellStyles count="1">
    <cellStyle name="Standard" xfId="0" builtinId="0"/>
  </cellStyles>
  <dxfs count="1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C6F4E-4E92-4B9F-A1AF-42FF036A29E8}" name="Tabelle1" displayName="Tabelle1" ref="A1:E61" totalsRowShown="0" headerRowDxfId="9" dataDxfId="7" headerRowBorderDxfId="8" tableBorderDxfId="6" totalsRowBorderDxfId="5">
  <autoFilter ref="A1:E61" xr:uid="{E4DAD45A-87D3-4DD3-860F-5069B2CE5B16}"/>
  <sortState ref="A3:E61">
    <sortCondition ref="C1:C61"/>
  </sortState>
  <tableColumns count="5">
    <tableColumn id="1" xr3:uid="{9BFC5368-9B93-46BA-A40E-9C1BEB56E60B}" name="Parameter Referenzszenario" dataDxfId="4"/>
    <tableColumn id="2" xr3:uid="{D3396BE7-F459-47CA-B0E2-14DC2E89CD1E}" name="Werte Lindenallee" dataDxfId="3"/>
    <tableColumn id="3" xr3:uid="{FF3CBFFB-D4BC-4433-8118-ECD45BFB1F17}" name="Klasse" dataDxfId="2"/>
    <tableColumn id="4" xr3:uid="{DB151D92-B64D-4F50-ADA5-3300D19E404B}" name="Attribut" dataDxfId="1"/>
    <tableColumn id="5" xr3:uid="{EC0BEF95-9FCC-4229-A924-EEE5019AFBBE}" name="Spalte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opLeftCell="W1" zoomScaleNormal="100" workbookViewId="0">
      <selection activeCell="V5" sqref="V5"/>
    </sheetView>
  </sheetViews>
  <sheetFormatPr baseColWidth="10" defaultColWidth="8.6640625" defaultRowHeight="14.4" x14ac:dyDescent="0.3"/>
  <cols>
    <col min="1" max="1" width="14.88671875" customWidth="1"/>
    <col min="2" max="4" width="14.88671875" style="2" customWidth="1"/>
    <col min="5" max="18" width="14.88671875" customWidth="1"/>
    <col min="19" max="19" width="27.33203125" customWidth="1"/>
    <col min="20" max="30" width="14.88671875" customWidth="1"/>
    <col min="31" max="31" width="15" customWidth="1"/>
    <col min="32" max="33" width="14.88671875" customWidth="1"/>
  </cols>
  <sheetData>
    <row r="1" spans="1:33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 t="s">
        <v>1</v>
      </c>
      <c r="V1" s="23"/>
      <c r="W1" s="23"/>
      <c r="X1" s="23"/>
      <c r="Y1" s="23"/>
      <c r="Z1" s="23"/>
      <c r="AA1" s="23"/>
      <c r="AB1" s="23"/>
    </row>
    <row r="2" spans="1:33" x14ac:dyDescent="0.3">
      <c r="A2" t="s">
        <v>2</v>
      </c>
      <c r="B2" s="2" t="s">
        <v>3</v>
      </c>
      <c r="C2" s="2" t="s">
        <v>4</v>
      </c>
      <c r="D2" s="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</row>
    <row r="3" spans="1:33" x14ac:dyDescent="0.3">
      <c r="A3">
        <v>1</v>
      </c>
      <c r="B3" s="2" t="s">
        <v>35</v>
      </c>
      <c r="C3" s="3">
        <v>1</v>
      </c>
      <c r="D3" s="3">
        <v>5</v>
      </c>
      <c r="E3">
        <f>G3*H3*I3</f>
        <v>160</v>
      </c>
      <c r="F3" t="s">
        <v>36</v>
      </c>
      <c r="G3">
        <v>10</v>
      </c>
      <c r="H3">
        <v>8</v>
      </c>
      <c r="I3">
        <v>2</v>
      </c>
      <c r="J3" s="1">
        <f>((9.65-0.25)+(7.65-0.25))/2</f>
        <v>8.4</v>
      </c>
      <c r="K3" t="s">
        <v>37</v>
      </c>
      <c r="L3">
        <f>(25+42)/2</f>
        <v>33.5</v>
      </c>
      <c r="M3">
        <f>(H3/2)*TAN(RADIANS(L3))</f>
        <v>2.6475422447827661</v>
      </c>
      <c r="N3" s="1">
        <v>0.7</v>
      </c>
      <c r="O3" s="1">
        <f>(SQRT(M3^2+(H3/2)^2)+N3)*(G3+2*N3)</f>
        <v>62.663745416080474</v>
      </c>
      <c r="P3" s="1">
        <f>H3*(J3-M3)+(H3/2)*M3</f>
        <v>56.609831020868938</v>
      </c>
      <c r="Q3" s="1">
        <f>G3*(J3-M3)</f>
        <v>57.524577552172346</v>
      </c>
      <c r="R3" s="1">
        <v>0.4</v>
      </c>
      <c r="S3" s="1">
        <f>(J3-M3-R3-R3)*G3*H3</f>
        <v>396.19662041737865</v>
      </c>
      <c r="T3" s="1" t="s">
        <v>38</v>
      </c>
      <c r="U3" t="s">
        <v>39</v>
      </c>
      <c r="V3">
        <v>55</v>
      </c>
      <c r="W3" t="s">
        <v>40</v>
      </c>
      <c r="X3" t="s">
        <v>41</v>
      </c>
      <c r="Y3" t="s">
        <v>42</v>
      </c>
      <c r="Z3" t="s">
        <v>42</v>
      </c>
      <c r="AA3" t="s">
        <v>43</v>
      </c>
      <c r="AB3" t="s">
        <v>44</v>
      </c>
      <c r="AC3" t="s">
        <v>45</v>
      </c>
      <c r="AD3">
        <v>5</v>
      </c>
      <c r="AE3" t="s">
        <v>46</v>
      </c>
      <c r="AF3" t="s">
        <v>47</v>
      </c>
      <c r="AG3" t="s">
        <v>47</v>
      </c>
    </row>
    <row r="4" spans="1:33" x14ac:dyDescent="0.3">
      <c r="A4">
        <v>2</v>
      </c>
      <c r="B4" s="2" t="s">
        <v>35</v>
      </c>
      <c r="C4" s="3">
        <v>1</v>
      </c>
      <c r="D4" s="3">
        <v>5</v>
      </c>
      <c r="E4">
        <f t="shared" ref="E4:E48" si="0">G4*H4*I4</f>
        <v>160</v>
      </c>
      <c r="F4" t="s">
        <v>36</v>
      </c>
      <c r="G4">
        <v>10</v>
      </c>
      <c r="H4">
        <v>8</v>
      </c>
      <c r="I4">
        <v>2</v>
      </c>
      <c r="J4" s="1">
        <f t="shared" ref="J4:J48" si="1">((9.65-0.25)+(7.65-0.25))/2</f>
        <v>8.4</v>
      </c>
      <c r="K4" t="s">
        <v>37</v>
      </c>
      <c r="L4">
        <f t="shared" ref="L4:L48" si="2">(25+42)/2</f>
        <v>33.5</v>
      </c>
      <c r="M4">
        <f t="shared" ref="M4:M48" si="3">(H4/2)*TAN(RADIANS(L4))</f>
        <v>2.6475422447827661</v>
      </c>
      <c r="N4" s="1">
        <v>0.7</v>
      </c>
      <c r="O4" s="1">
        <f t="shared" ref="O4:O48" si="4">(SQRT(M4^2+(H4/2)^2)+N4)*(G4+2*N4)</f>
        <v>62.663745416080474</v>
      </c>
      <c r="P4" s="1">
        <f t="shared" ref="P4:P48" si="5">H4*(J4-M4)+(H4/2)*M4</f>
        <v>56.609831020868938</v>
      </c>
      <c r="Q4" s="1">
        <f t="shared" ref="Q4:Q48" si="6">G4*(J4-M4)</f>
        <v>57.524577552172346</v>
      </c>
      <c r="R4" s="1">
        <v>0.4</v>
      </c>
      <c r="S4" s="1">
        <f t="shared" ref="S4:S48" si="7">(J4-M4-R4-R4)*G4*H4</f>
        <v>396.19662041737865</v>
      </c>
      <c r="T4" s="1" t="s">
        <v>38</v>
      </c>
      <c r="U4" t="s">
        <v>39</v>
      </c>
      <c r="V4">
        <v>55</v>
      </c>
      <c r="W4" t="s">
        <v>40</v>
      </c>
      <c r="X4" t="s">
        <v>41</v>
      </c>
      <c r="Y4" t="s">
        <v>42</v>
      </c>
      <c r="Z4" t="s">
        <v>42</v>
      </c>
      <c r="AA4" t="s">
        <v>43</v>
      </c>
      <c r="AB4" t="s">
        <v>44</v>
      </c>
      <c r="AC4" t="s">
        <v>45</v>
      </c>
      <c r="AD4">
        <v>5</v>
      </c>
      <c r="AE4" t="s">
        <v>46</v>
      </c>
      <c r="AF4" t="s">
        <v>47</v>
      </c>
      <c r="AG4" t="s">
        <v>47</v>
      </c>
    </row>
    <row r="5" spans="1:33" x14ac:dyDescent="0.3">
      <c r="A5">
        <v>3</v>
      </c>
      <c r="B5" s="2" t="s">
        <v>35</v>
      </c>
      <c r="C5" s="3">
        <v>1</v>
      </c>
      <c r="D5" s="3">
        <v>4</v>
      </c>
      <c r="E5">
        <f t="shared" si="0"/>
        <v>160</v>
      </c>
      <c r="F5" t="s">
        <v>36</v>
      </c>
      <c r="G5">
        <v>10</v>
      </c>
      <c r="H5">
        <v>8</v>
      </c>
      <c r="I5">
        <v>2</v>
      </c>
      <c r="J5" s="1">
        <f t="shared" si="1"/>
        <v>8.4</v>
      </c>
      <c r="K5" t="s">
        <v>37</v>
      </c>
      <c r="L5">
        <f t="shared" si="2"/>
        <v>33.5</v>
      </c>
      <c r="M5">
        <f t="shared" si="3"/>
        <v>2.6475422447827661</v>
      </c>
      <c r="N5" s="1">
        <v>0.7</v>
      </c>
      <c r="O5" s="1">
        <f t="shared" si="4"/>
        <v>62.663745416080474</v>
      </c>
      <c r="P5" s="1">
        <f t="shared" si="5"/>
        <v>56.609831020868938</v>
      </c>
      <c r="Q5" s="1">
        <f t="shared" si="6"/>
        <v>57.524577552172346</v>
      </c>
      <c r="R5" s="1">
        <v>0.4</v>
      </c>
      <c r="S5" s="1">
        <f t="shared" si="7"/>
        <v>396.19662041737865</v>
      </c>
      <c r="T5" s="1" t="s">
        <v>38</v>
      </c>
      <c r="U5" t="s">
        <v>39</v>
      </c>
      <c r="V5">
        <v>55</v>
      </c>
      <c r="W5" t="s">
        <v>40</v>
      </c>
      <c r="X5" t="s">
        <v>41</v>
      </c>
      <c r="Y5" t="s">
        <v>42</v>
      </c>
      <c r="Z5" t="s">
        <v>42</v>
      </c>
      <c r="AA5" t="s">
        <v>43</v>
      </c>
      <c r="AB5" t="s">
        <v>44</v>
      </c>
      <c r="AC5" t="s">
        <v>45</v>
      </c>
      <c r="AD5">
        <v>5</v>
      </c>
      <c r="AE5" t="s">
        <v>46</v>
      </c>
      <c r="AF5" t="s">
        <v>47</v>
      </c>
      <c r="AG5" t="s">
        <v>47</v>
      </c>
    </row>
    <row r="6" spans="1:33" x14ac:dyDescent="0.3">
      <c r="A6">
        <v>4</v>
      </c>
      <c r="B6" s="2" t="s">
        <v>35</v>
      </c>
      <c r="C6" s="3">
        <v>1</v>
      </c>
      <c r="D6" s="3">
        <v>4</v>
      </c>
      <c r="E6">
        <f t="shared" si="0"/>
        <v>160</v>
      </c>
      <c r="F6" t="s">
        <v>36</v>
      </c>
      <c r="G6">
        <v>10</v>
      </c>
      <c r="H6">
        <v>8</v>
      </c>
      <c r="I6">
        <v>2</v>
      </c>
      <c r="J6" s="1">
        <f t="shared" si="1"/>
        <v>8.4</v>
      </c>
      <c r="K6" t="s">
        <v>37</v>
      </c>
      <c r="L6">
        <f t="shared" si="2"/>
        <v>33.5</v>
      </c>
      <c r="M6">
        <f t="shared" si="3"/>
        <v>2.6475422447827661</v>
      </c>
      <c r="N6" s="1">
        <v>0.7</v>
      </c>
      <c r="O6" s="1">
        <f t="shared" si="4"/>
        <v>62.663745416080474</v>
      </c>
      <c r="P6" s="1">
        <f t="shared" si="5"/>
        <v>56.609831020868938</v>
      </c>
      <c r="Q6" s="1">
        <f t="shared" si="6"/>
        <v>57.524577552172346</v>
      </c>
      <c r="R6" s="1">
        <v>0.4</v>
      </c>
      <c r="S6" s="1">
        <f t="shared" si="7"/>
        <v>396.19662041737865</v>
      </c>
      <c r="T6" s="1" t="s">
        <v>38</v>
      </c>
      <c r="U6" t="s">
        <v>39</v>
      </c>
      <c r="V6">
        <v>55</v>
      </c>
      <c r="W6" t="s">
        <v>40</v>
      </c>
      <c r="X6" t="s">
        <v>41</v>
      </c>
      <c r="Y6" t="s">
        <v>42</v>
      </c>
      <c r="Z6" t="s">
        <v>42</v>
      </c>
      <c r="AA6" t="s">
        <v>43</v>
      </c>
      <c r="AB6" t="s">
        <v>44</v>
      </c>
      <c r="AC6" t="s">
        <v>45</v>
      </c>
      <c r="AD6">
        <v>5</v>
      </c>
      <c r="AE6" t="s">
        <v>46</v>
      </c>
      <c r="AF6" t="s">
        <v>47</v>
      </c>
      <c r="AG6" t="s">
        <v>47</v>
      </c>
    </row>
    <row r="7" spans="1:33" x14ac:dyDescent="0.3">
      <c r="A7">
        <v>5</v>
      </c>
      <c r="B7" s="2" t="s">
        <v>35</v>
      </c>
      <c r="C7" s="3">
        <v>1</v>
      </c>
      <c r="D7" s="3">
        <v>4</v>
      </c>
      <c r="E7">
        <f t="shared" si="0"/>
        <v>160</v>
      </c>
      <c r="F7" t="s">
        <v>36</v>
      </c>
      <c r="G7">
        <v>10</v>
      </c>
      <c r="H7">
        <v>8</v>
      </c>
      <c r="I7">
        <v>2</v>
      </c>
      <c r="J7" s="1">
        <f t="shared" si="1"/>
        <v>8.4</v>
      </c>
      <c r="K7" t="s">
        <v>37</v>
      </c>
      <c r="L7">
        <f t="shared" si="2"/>
        <v>33.5</v>
      </c>
      <c r="M7">
        <f t="shared" si="3"/>
        <v>2.6475422447827661</v>
      </c>
      <c r="N7" s="1">
        <v>0.7</v>
      </c>
      <c r="O7" s="1">
        <f t="shared" si="4"/>
        <v>62.663745416080474</v>
      </c>
      <c r="P7" s="1">
        <f t="shared" si="5"/>
        <v>56.609831020868938</v>
      </c>
      <c r="Q7" s="1">
        <f t="shared" si="6"/>
        <v>57.524577552172346</v>
      </c>
      <c r="R7" s="1">
        <v>0.4</v>
      </c>
      <c r="S7" s="1">
        <f t="shared" si="7"/>
        <v>396.19662041737865</v>
      </c>
      <c r="T7" s="1" t="s">
        <v>38</v>
      </c>
      <c r="U7" t="s">
        <v>39</v>
      </c>
      <c r="V7">
        <v>55</v>
      </c>
      <c r="W7" t="s">
        <v>40</v>
      </c>
      <c r="X7" t="s">
        <v>41</v>
      </c>
      <c r="Y7" t="s">
        <v>42</v>
      </c>
      <c r="Z7" t="s">
        <v>42</v>
      </c>
      <c r="AA7" t="s">
        <v>43</v>
      </c>
      <c r="AB7" t="s">
        <v>44</v>
      </c>
      <c r="AC7" t="s">
        <v>45</v>
      </c>
      <c r="AD7">
        <v>5</v>
      </c>
      <c r="AE7" t="s">
        <v>46</v>
      </c>
      <c r="AF7" t="s">
        <v>47</v>
      </c>
      <c r="AG7" t="s">
        <v>47</v>
      </c>
    </row>
    <row r="8" spans="1:33" x14ac:dyDescent="0.3">
      <c r="A8">
        <v>6</v>
      </c>
      <c r="B8" s="2" t="s">
        <v>35</v>
      </c>
      <c r="C8" s="3">
        <v>1</v>
      </c>
      <c r="D8" s="3">
        <v>4</v>
      </c>
      <c r="E8">
        <f t="shared" si="0"/>
        <v>160</v>
      </c>
      <c r="F8" t="s">
        <v>36</v>
      </c>
      <c r="G8">
        <v>10</v>
      </c>
      <c r="H8">
        <v>8</v>
      </c>
      <c r="I8">
        <v>2</v>
      </c>
      <c r="J8" s="1">
        <f t="shared" si="1"/>
        <v>8.4</v>
      </c>
      <c r="K8" t="s">
        <v>37</v>
      </c>
      <c r="L8">
        <f t="shared" si="2"/>
        <v>33.5</v>
      </c>
      <c r="M8">
        <f t="shared" si="3"/>
        <v>2.6475422447827661</v>
      </c>
      <c r="N8" s="1">
        <v>0.7</v>
      </c>
      <c r="O8" s="1">
        <f t="shared" si="4"/>
        <v>62.663745416080474</v>
      </c>
      <c r="P8" s="1">
        <f t="shared" si="5"/>
        <v>56.609831020868938</v>
      </c>
      <c r="Q8" s="1">
        <f t="shared" si="6"/>
        <v>57.524577552172346</v>
      </c>
      <c r="R8" s="1">
        <v>0.4</v>
      </c>
      <c r="S8" s="1">
        <f t="shared" si="7"/>
        <v>396.19662041737865</v>
      </c>
      <c r="T8" s="1" t="s">
        <v>38</v>
      </c>
      <c r="U8" t="s">
        <v>39</v>
      </c>
      <c r="V8">
        <v>55</v>
      </c>
      <c r="W8" t="s">
        <v>40</v>
      </c>
      <c r="X8" t="s">
        <v>41</v>
      </c>
      <c r="Y8" t="s">
        <v>42</v>
      </c>
      <c r="Z8" t="s">
        <v>42</v>
      </c>
      <c r="AA8" t="s">
        <v>43</v>
      </c>
      <c r="AB8" t="s">
        <v>44</v>
      </c>
      <c r="AC8" t="s">
        <v>45</v>
      </c>
      <c r="AD8">
        <v>5</v>
      </c>
      <c r="AE8" t="s">
        <v>46</v>
      </c>
      <c r="AF8" t="s">
        <v>47</v>
      </c>
      <c r="AG8" t="s">
        <v>47</v>
      </c>
    </row>
    <row r="9" spans="1:33" x14ac:dyDescent="0.3">
      <c r="A9">
        <v>7</v>
      </c>
      <c r="B9" s="2" t="s">
        <v>35</v>
      </c>
      <c r="C9" s="3">
        <v>1</v>
      </c>
      <c r="D9" s="3">
        <v>3</v>
      </c>
      <c r="E9">
        <f t="shared" si="0"/>
        <v>160</v>
      </c>
      <c r="F9" t="s">
        <v>36</v>
      </c>
      <c r="G9">
        <v>10</v>
      </c>
      <c r="H9">
        <v>8</v>
      </c>
      <c r="I9">
        <v>2</v>
      </c>
      <c r="J9" s="1">
        <f t="shared" si="1"/>
        <v>8.4</v>
      </c>
      <c r="K9" t="s">
        <v>37</v>
      </c>
      <c r="L9">
        <f t="shared" si="2"/>
        <v>33.5</v>
      </c>
      <c r="M9">
        <f t="shared" si="3"/>
        <v>2.6475422447827661</v>
      </c>
      <c r="N9" s="1">
        <v>0.7</v>
      </c>
      <c r="O9" s="1">
        <f t="shared" si="4"/>
        <v>62.663745416080474</v>
      </c>
      <c r="P9" s="1">
        <f t="shared" si="5"/>
        <v>56.609831020868938</v>
      </c>
      <c r="Q9" s="1">
        <f t="shared" si="6"/>
        <v>57.524577552172346</v>
      </c>
      <c r="R9" s="1">
        <v>0.4</v>
      </c>
      <c r="S9" s="1">
        <f t="shared" si="7"/>
        <v>396.19662041737865</v>
      </c>
      <c r="T9" s="1" t="s">
        <v>38</v>
      </c>
      <c r="U9" t="s">
        <v>39</v>
      </c>
      <c r="V9">
        <v>55</v>
      </c>
      <c r="W9" t="s">
        <v>40</v>
      </c>
      <c r="X9" t="s">
        <v>41</v>
      </c>
      <c r="Y9" t="s">
        <v>42</v>
      </c>
      <c r="Z9" t="s">
        <v>42</v>
      </c>
      <c r="AA9" t="s">
        <v>43</v>
      </c>
      <c r="AB9" t="s">
        <v>44</v>
      </c>
      <c r="AC9" t="s">
        <v>45</v>
      </c>
      <c r="AD9">
        <v>5</v>
      </c>
      <c r="AE9" t="s">
        <v>46</v>
      </c>
      <c r="AF9" t="s">
        <v>47</v>
      </c>
      <c r="AG9" t="s">
        <v>47</v>
      </c>
    </row>
    <row r="10" spans="1:33" x14ac:dyDescent="0.3">
      <c r="A10">
        <v>8</v>
      </c>
      <c r="B10" s="2" t="s">
        <v>35</v>
      </c>
      <c r="C10" s="3">
        <v>2</v>
      </c>
      <c r="D10" s="3">
        <v>3</v>
      </c>
      <c r="E10">
        <f t="shared" si="0"/>
        <v>160</v>
      </c>
      <c r="F10" t="s">
        <v>36</v>
      </c>
      <c r="G10">
        <v>10</v>
      </c>
      <c r="H10">
        <v>8</v>
      </c>
      <c r="I10">
        <v>2</v>
      </c>
      <c r="J10" s="1">
        <f t="shared" si="1"/>
        <v>8.4</v>
      </c>
      <c r="K10" t="s">
        <v>37</v>
      </c>
      <c r="L10">
        <f t="shared" si="2"/>
        <v>33.5</v>
      </c>
      <c r="M10">
        <f t="shared" si="3"/>
        <v>2.6475422447827661</v>
      </c>
      <c r="N10" s="1">
        <v>0.7</v>
      </c>
      <c r="O10" s="1">
        <f t="shared" si="4"/>
        <v>62.663745416080474</v>
      </c>
      <c r="P10" s="1">
        <f t="shared" si="5"/>
        <v>56.609831020868938</v>
      </c>
      <c r="Q10" s="1">
        <f t="shared" si="6"/>
        <v>57.524577552172346</v>
      </c>
      <c r="R10" s="1">
        <v>0.4</v>
      </c>
      <c r="S10" s="1">
        <f t="shared" si="7"/>
        <v>396.19662041737865</v>
      </c>
      <c r="T10" s="1" t="s">
        <v>38</v>
      </c>
      <c r="U10" t="s">
        <v>39</v>
      </c>
      <c r="V10">
        <v>55</v>
      </c>
      <c r="W10" t="s">
        <v>40</v>
      </c>
      <c r="X10" t="s">
        <v>41</v>
      </c>
      <c r="Y10" t="s">
        <v>42</v>
      </c>
      <c r="Z10" t="s">
        <v>42</v>
      </c>
      <c r="AA10" t="s">
        <v>43</v>
      </c>
      <c r="AB10" t="s">
        <v>44</v>
      </c>
      <c r="AC10" t="s">
        <v>45</v>
      </c>
      <c r="AD10">
        <v>5</v>
      </c>
      <c r="AE10" t="s">
        <v>46</v>
      </c>
      <c r="AF10" t="s">
        <v>47</v>
      </c>
      <c r="AG10" t="s">
        <v>47</v>
      </c>
    </row>
    <row r="11" spans="1:33" x14ac:dyDescent="0.3">
      <c r="A11">
        <v>9</v>
      </c>
      <c r="B11" s="2" t="s">
        <v>35</v>
      </c>
      <c r="C11" s="3">
        <v>2</v>
      </c>
      <c r="D11" s="3">
        <v>3</v>
      </c>
      <c r="E11">
        <f t="shared" si="0"/>
        <v>160</v>
      </c>
      <c r="F11" t="s">
        <v>48</v>
      </c>
      <c r="G11">
        <v>10</v>
      </c>
      <c r="H11">
        <v>8</v>
      </c>
      <c r="I11">
        <v>2</v>
      </c>
      <c r="J11" s="1">
        <f t="shared" si="1"/>
        <v>8.4</v>
      </c>
      <c r="K11" t="s">
        <v>37</v>
      </c>
      <c r="L11">
        <f t="shared" si="2"/>
        <v>33.5</v>
      </c>
      <c r="M11">
        <f t="shared" si="3"/>
        <v>2.6475422447827661</v>
      </c>
      <c r="N11" s="1">
        <v>0.7</v>
      </c>
      <c r="O11" s="1">
        <f t="shared" si="4"/>
        <v>62.663745416080474</v>
      </c>
      <c r="P11" s="1">
        <f t="shared" si="5"/>
        <v>56.609831020868938</v>
      </c>
      <c r="Q11" s="1">
        <f t="shared" si="6"/>
        <v>57.524577552172346</v>
      </c>
      <c r="R11" s="1">
        <v>0.4</v>
      </c>
      <c r="S11" s="1">
        <f t="shared" si="7"/>
        <v>396.19662041737865</v>
      </c>
      <c r="T11" s="1" t="s">
        <v>38</v>
      </c>
      <c r="U11" t="s">
        <v>39</v>
      </c>
      <c r="V11">
        <v>55</v>
      </c>
      <c r="W11" t="s">
        <v>40</v>
      </c>
      <c r="X11" t="s">
        <v>41</v>
      </c>
      <c r="Y11" t="s">
        <v>42</v>
      </c>
      <c r="Z11" t="s">
        <v>42</v>
      </c>
      <c r="AA11" t="s">
        <v>43</v>
      </c>
      <c r="AB11" t="s">
        <v>44</v>
      </c>
      <c r="AC11" t="s">
        <v>45</v>
      </c>
      <c r="AD11">
        <v>5</v>
      </c>
      <c r="AE11" t="s">
        <v>46</v>
      </c>
      <c r="AF11" t="s">
        <v>47</v>
      </c>
      <c r="AG11" t="s">
        <v>47</v>
      </c>
    </row>
    <row r="12" spans="1:33" x14ac:dyDescent="0.3">
      <c r="A12">
        <v>10</v>
      </c>
      <c r="B12" s="2" t="s">
        <v>35</v>
      </c>
      <c r="C12" s="3">
        <v>2</v>
      </c>
      <c r="D12" s="3">
        <v>3</v>
      </c>
      <c r="E12">
        <f t="shared" si="0"/>
        <v>160</v>
      </c>
      <c r="F12" t="s">
        <v>48</v>
      </c>
      <c r="G12">
        <v>10</v>
      </c>
      <c r="H12">
        <v>8</v>
      </c>
      <c r="I12">
        <v>2</v>
      </c>
      <c r="J12" s="1">
        <f t="shared" si="1"/>
        <v>8.4</v>
      </c>
      <c r="K12" t="s">
        <v>37</v>
      </c>
      <c r="L12">
        <f t="shared" si="2"/>
        <v>33.5</v>
      </c>
      <c r="M12">
        <f t="shared" si="3"/>
        <v>2.6475422447827661</v>
      </c>
      <c r="N12" s="1">
        <v>0.7</v>
      </c>
      <c r="O12" s="1">
        <f t="shared" si="4"/>
        <v>62.663745416080474</v>
      </c>
      <c r="P12" s="1">
        <f t="shared" si="5"/>
        <v>56.609831020868938</v>
      </c>
      <c r="Q12" s="1">
        <f t="shared" si="6"/>
        <v>57.524577552172346</v>
      </c>
      <c r="R12" s="1">
        <v>0.4</v>
      </c>
      <c r="S12" s="1">
        <f t="shared" si="7"/>
        <v>396.19662041737865</v>
      </c>
      <c r="T12" s="1" t="s">
        <v>38</v>
      </c>
      <c r="U12" t="s">
        <v>39</v>
      </c>
      <c r="V12">
        <v>55</v>
      </c>
      <c r="W12" t="s">
        <v>40</v>
      </c>
      <c r="X12" t="s">
        <v>41</v>
      </c>
      <c r="Y12" t="s">
        <v>42</v>
      </c>
      <c r="Z12" t="s">
        <v>42</v>
      </c>
      <c r="AA12" t="s">
        <v>43</v>
      </c>
      <c r="AB12" t="s">
        <v>44</v>
      </c>
      <c r="AC12" t="s">
        <v>45</v>
      </c>
      <c r="AD12">
        <v>5</v>
      </c>
      <c r="AE12" t="s">
        <v>46</v>
      </c>
      <c r="AF12" t="s">
        <v>47</v>
      </c>
      <c r="AG12" t="s">
        <v>47</v>
      </c>
    </row>
    <row r="13" spans="1:33" x14ac:dyDescent="0.3">
      <c r="A13">
        <v>11</v>
      </c>
      <c r="B13" s="2" t="s">
        <v>35</v>
      </c>
      <c r="C13" s="3">
        <v>2</v>
      </c>
      <c r="D13" s="3">
        <v>3</v>
      </c>
      <c r="E13">
        <f t="shared" si="0"/>
        <v>160</v>
      </c>
      <c r="F13" t="s">
        <v>48</v>
      </c>
      <c r="G13">
        <v>10</v>
      </c>
      <c r="H13">
        <v>8</v>
      </c>
      <c r="I13">
        <v>2</v>
      </c>
      <c r="J13" s="1">
        <f t="shared" si="1"/>
        <v>8.4</v>
      </c>
      <c r="K13" t="s">
        <v>37</v>
      </c>
      <c r="L13">
        <f t="shared" si="2"/>
        <v>33.5</v>
      </c>
      <c r="M13">
        <f t="shared" si="3"/>
        <v>2.6475422447827661</v>
      </c>
      <c r="N13" s="1">
        <v>0.7</v>
      </c>
      <c r="O13" s="1">
        <f t="shared" si="4"/>
        <v>62.663745416080474</v>
      </c>
      <c r="P13" s="1">
        <f t="shared" si="5"/>
        <v>56.609831020868938</v>
      </c>
      <c r="Q13" s="1">
        <f t="shared" si="6"/>
        <v>57.524577552172346</v>
      </c>
      <c r="R13" s="1">
        <v>0.4</v>
      </c>
      <c r="S13" s="1">
        <f t="shared" si="7"/>
        <v>396.19662041737865</v>
      </c>
      <c r="T13" s="1" t="s">
        <v>38</v>
      </c>
      <c r="U13" t="s">
        <v>39</v>
      </c>
      <c r="V13">
        <v>55</v>
      </c>
      <c r="W13" t="s">
        <v>40</v>
      </c>
      <c r="X13" t="s">
        <v>41</v>
      </c>
      <c r="Y13" t="s">
        <v>42</v>
      </c>
      <c r="Z13" t="s">
        <v>42</v>
      </c>
      <c r="AA13" t="s">
        <v>43</v>
      </c>
      <c r="AB13" t="s">
        <v>44</v>
      </c>
      <c r="AC13" t="s">
        <v>45</v>
      </c>
      <c r="AD13">
        <v>5</v>
      </c>
      <c r="AE13" t="s">
        <v>46</v>
      </c>
      <c r="AF13" t="s">
        <v>47</v>
      </c>
      <c r="AG13" t="s">
        <v>47</v>
      </c>
    </row>
    <row r="14" spans="1:33" x14ac:dyDescent="0.3">
      <c r="A14">
        <v>12</v>
      </c>
      <c r="B14" s="2" t="s">
        <v>35</v>
      </c>
      <c r="C14" s="3">
        <v>2</v>
      </c>
      <c r="D14" s="3">
        <v>3</v>
      </c>
      <c r="E14">
        <f t="shared" si="0"/>
        <v>160</v>
      </c>
      <c r="F14" t="s">
        <v>48</v>
      </c>
      <c r="G14">
        <v>10</v>
      </c>
      <c r="H14">
        <v>8</v>
      </c>
      <c r="I14">
        <v>2</v>
      </c>
      <c r="J14" s="1">
        <f t="shared" si="1"/>
        <v>8.4</v>
      </c>
      <c r="K14" t="s">
        <v>37</v>
      </c>
      <c r="L14">
        <f t="shared" si="2"/>
        <v>33.5</v>
      </c>
      <c r="M14">
        <f t="shared" si="3"/>
        <v>2.6475422447827661</v>
      </c>
      <c r="N14" s="1">
        <v>0.7</v>
      </c>
      <c r="O14" s="1">
        <f t="shared" si="4"/>
        <v>62.663745416080474</v>
      </c>
      <c r="P14" s="1">
        <f t="shared" si="5"/>
        <v>56.609831020868938</v>
      </c>
      <c r="Q14" s="1">
        <f t="shared" si="6"/>
        <v>57.524577552172346</v>
      </c>
      <c r="R14" s="1">
        <v>0.4</v>
      </c>
      <c r="S14" s="1">
        <f t="shared" si="7"/>
        <v>396.19662041737865</v>
      </c>
      <c r="T14" s="1" t="s">
        <v>38</v>
      </c>
      <c r="U14" t="s">
        <v>39</v>
      </c>
      <c r="V14">
        <v>55</v>
      </c>
      <c r="W14" t="s">
        <v>40</v>
      </c>
      <c r="X14" t="s">
        <v>41</v>
      </c>
      <c r="Y14" t="s">
        <v>42</v>
      </c>
      <c r="Z14" t="s">
        <v>42</v>
      </c>
      <c r="AA14" t="s">
        <v>43</v>
      </c>
      <c r="AB14" t="s">
        <v>44</v>
      </c>
      <c r="AC14" t="s">
        <v>45</v>
      </c>
      <c r="AD14">
        <v>5</v>
      </c>
      <c r="AE14" t="s">
        <v>46</v>
      </c>
      <c r="AF14" t="s">
        <v>47</v>
      </c>
      <c r="AG14" t="s">
        <v>47</v>
      </c>
    </row>
    <row r="15" spans="1:33" x14ac:dyDescent="0.3">
      <c r="A15">
        <v>13</v>
      </c>
      <c r="B15" s="2" t="s">
        <v>35</v>
      </c>
      <c r="C15" s="3">
        <v>2</v>
      </c>
      <c r="D15" s="3">
        <v>3</v>
      </c>
      <c r="E15">
        <f t="shared" si="0"/>
        <v>160</v>
      </c>
      <c r="F15" t="s">
        <v>48</v>
      </c>
      <c r="G15">
        <v>10</v>
      </c>
      <c r="H15">
        <v>8</v>
      </c>
      <c r="I15">
        <v>2</v>
      </c>
      <c r="J15" s="1">
        <f t="shared" si="1"/>
        <v>8.4</v>
      </c>
      <c r="K15" t="s">
        <v>37</v>
      </c>
      <c r="L15">
        <f t="shared" si="2"/>
        <v>33.5</v>
      </c>
      <c r="M15">
        <f t="shared" si="3"/>
        <v>2.6475422447827661</v>
      </c>
      <c r="N15" s="1">
        <v>0.7</v>
      </c>
      <c r="O15" s="1">
        <f t="shared" si="4"/>
        <v>62.663745416080474</v>
      </c>
      <c r="P15" s="1">
        <f t="shared" si="5"/>
        <v>56.609831020868938</v>
      </c>
      <c r="Q15" s="1">
        <f t="shared" si="6"/>
        <v>57.524577552172346</v>
      </c>
      <c r="R15" s="1">
        <v>0.4</v>
      </c>
      <c r="S15" s="1">
        <f t="shared" si="7"/>
        <v>396.19662041737865</v>
      </c>
      <c r="T15" s="1" t="s">
        <v>38</v>
      </c>
      <c r="U15" t="s">
        <v>39</v>
      </c>
      <c r="V15">
        <v>55</v>
      </c>
      <c r="W15" t="s">
        <v>40</v>
      </c>
      <c r="X15" t="s">
        <v>41</v>
      </c>
      <c r="Y15" t="s">
        <v>42</v>
      </c>
      <c r="Z15" t="s">
        <v>42</v>
      </c>
      <c r="AA15" t="s">
        <v>43</v>
      </c>
      <c r="AB15" t="s">
        <v>44</v>
      </c>
      <c r="AC15" t="s">
        <v>45</v>
      </c>
      <c r="AD15">
        <v>5</v>
      </c>
      <c r="AE15" t="s">
        <v>46</v>
      </c>
      <c r="AF15" t="s">
        <v>47</v>
      </c>
      <c r="AG15" t="s">
        <v>47</v>
      </c>
    </row>
    <row r="16" spans="1:33" x14ac:dyDescent="0.3">
      <c r="A16">
        <v>14</v>
      </c>
      <c r="B16" s="2" t="s">
        <v>35</v>
      </c>
      <c r="C16" s="3">
        <v>2</v>
      </c>
      <c r="D16" s="3">
        <v>2</v>
      </c>
      <c r="E16">
        <f t="shared" si="0"/>
        <v>160</v>
      </c>
      <c r="F16" t="s">
        <v>49</v>
      </c>
      <c r="G16">
        <v>10</v>
      </c>
      <c r="H16">
        <v>8</v>
      </c>
      <c r="I16">
        <v>2</v>
      </c>
      <c r="J16" s="1">
        <f t="shared" si="1"/>
        <v>8.4</v>
      </c>
      <c r="K16" t="s">
        <v>37</v>
      </c>
      <c r="L16">
        <f t="shared" si="2"/>
        <v>33.5</v>
      </c>
      <c r="M16">
        <f t="shared" si="3"/>
        <v>2.6475422447827661</v>
      </c>
      <c r="N16" s="1">
        <v>0.7</v>
      </c>
      <c r="O16" s="1">
        <f t="shared" si="4"/>
        <v>62.663745416080474</v>
      </c>
      <c r="P16" s="1">
        <f t="shared" si="5"/>
        <v>56.609831020868938</v>
      </c>
      <c r="Q16" s="1">
        <f t="shared" si="6"/>
        <v>57.524577552172346</v>
      </c>
      <c r="R16" s="1">
        <v>0.4</v>
      </c>
      <c r="S16" s="1">
        <f t="shared" si="7"/>
        <v>396.19662041737865</v>
      </c>
      <c r="T16" s="1" t="s">
        <v>38</v>
      </c>
      <c r="U16" t="s">
        <v>39</v>
      </c>
      <c r="V16">
        <v>55</v>
      </c>
      <c r="W16" t="s">
        <v>40</v>
      </c>
      <c r="X16" t="s">
        <v>41</v>
      </c>
      <c r="Y16" t="s">
        <v>42</v>
      </c>
      <c r="Z16" t="s">
        <v>42</v>
      </c>
      <c r="AA16" t="s">
        <v>43</v>
      </c>
      <c r="AB16" t="s">
        <v>44</v>
      </c>
      <c r="AC16" t="s">
        <v>45</v>
      </c>
      <c r="AD16">
        <v>5</v>
      </c>
      <c r="AE16" t="s">
        <v>46</v>
      </c>
      <c r="AF16" t="s">
        <v>47</v>
      </c>
      <c r="AG16" t="s">
        <v>47</v>
      </c>
    </row>
    <row r="17" spans="1:33" x14ac:dyDescent="0.3">
      <c r="A17">
        <v>15</v>
      </c>
      <c r="B17" s="2" t="s">
        <v>35</v>
      </c>
      <c r="C17" s="3">
        <v>2</v>
      </c>
      <c r="D17" s="3">
        <v>2</v>
      </c>
      <c r="E17">
        <f t="shared" si="0"/>
        <v>160</v>
      </c>
      <c r="F17" t="s">
        <v>49</v>
      </c>
      <c r="G17">
        <v>10</v>
      </c>
      <c r="H17">
        <v>8</v>
      </c>
      <c r="I17">
        <v>2</v>
      </c>
      <c r="J17" s="1">
        <f t="shared" si="1"/>
        <v>8.4</v>
      </c>
      <c r="K17" t="s">
        <v>37</v>
      </c>
      <c r="L17">
        <f t="shared" si="2"/>
        <v>33.5</v>
      </c>
      <c r="M17">
        <f t="shared" si="3"/>
        <v>2.6475422447827661</v>
      </c>
      <c r="N17" s="1">
        <v>0.7</v>
      </c>
      <c r="O17" s="1">
        <f t="shared" si="4"/>
        <v>62.663745416080474</v>
      </c>
      <c r="P17" s="1">
        <f t="shared" si="5"/>
        <v>56.609831020868938</v>
      </c>
      <c r="Q17" s="1">
        <f t="shared" si="6"/>
        <v>57.524577552172346</v>
      </c>
      <c r="R17" s="1">
        <v>0.4</v>
      </c>
      <c r="S17" s="1">
        <f t="shared" si="7"/>
        <v>396.19662041737865</v>
      </c>
      <c r="T17" s="1" t="s">
        <v>38</v>
      </c>
      <c r="U17" t="s">
        <v>39</v>
      </c>
      <c r="V17">
        <v>55</v>
      </c>
      <c r="W17" t="s">
        <v>40</v>
      </c>
      <c r="X17" t="s">
        <v>41</v>
      </c>
      <c r="Y17" t="s">
        <v>42</v>
      </c>
      <c r="Z17" t="s">
        <v>42</v>
      </c>
      <c r="AA17" t="s">
        <v>43</v>
      </c>
      <c r="AB17" t="s">
        <v>44</v>
      </c>
      <c r="AC17" t="s">
        <v>45</v>
      </c>
      <c r="AD17">
        <v>5</v>
      </c>
      <c r="AE17" t="s">
        <v>46</v>
      </c>
      <c r="AF17" t="s">
        <v>47</v>
      </c>
      <c r="AG17" t="s">
        <v>47</v>
      </c>
    </row>
    <row r="18" spans="1:33" x14ac:dyDescent="0.3">
      <c r="A18">
        <v>16</v>
      </c>
      <c r="B18" s="2" t="s">
        <v>35</v>
      </c>
      <c r="C18" s="3">
        <v>2</v>
      </c>
      <c r="D18" s="3">
        <v>2</v>
      </c>
      <c r="E18">
        <f t="shared" si="0"/>
        <v>160</v>
      </c>
      <c r="F18" t="s">
        <v>49</v>
      </c>
      <c r="G18">
        <v>10</v>
      </c>
      <c r="H18">
        <v>8</v>
      </c>
      <c r="I18">
        <v>2</v>
      </c>
      <c r="J18" s="1">
        <f t="shared" si="1"/>
        <v>8.4</v>
      </c>
      <c r="K18" t="s">
        <v>37</v>
      </c>
      <c r="L18">
        <f t="shared" si="2"/>
        <v>33.5</v>
      </c>
      <c r="M18">
        <f t="shared" si="3"/>
        <v>2.6475422447827661</v>
      </c>
      <c r="N18" s="1">
        <v>0.7</v>
      </c>
      <c r="O18" s="1">
        <f t="shared" si="4"/>
        <v>62.663745416080474</v>
      </c>
      <c r="P18" s="1">
        <f t="shared" si="5"/>
        <v>56.609831020868938</v>
      </c>
      <c r="Q18" s="1">
        <f t="shared" si="6"/>
        <v>57.524577552172346</v>
      </c>
      <c r="R18" s="1">
        <v>0.4</v>
      </c>
      <c r="S18" s="1">
        <f t="shared" si="7"/>
        <v>396.19662041737865</v>
      </c>
      <c r="T18" s="1" t="s">
        <v>38</v>
      </c>
      <c r="U18" t="s">
        <v>39</v>
      </c>
      <c r="V18">
        <v>55</v>
      </c>
      <c r="W18" t="s">
        <v>40</v>
      </c>
      <c r="X18" t="s">
        <v>41</v>
      </c>
      <c r="Y18" t="s">
        <v>42</v>
      </c>
      <c r="Z18" t="s">
        <v>42</v>
      </c>
      <c r="AA18" t="s">
        <v>43</v>
      </c>
      <c r="AB18" t="s">
        <v>44</v>
      </c>
      <c r="AC18" t="s">
        <v>45</v>
      </c>
      <c r="AD18">
        <v>5</v>
      </c>
      <c r="AE18" t="s">
        <v>46</v>
      </c>
      <c r="AF18" t="s">
        <v>47</v>
      </c>
      <c r="AG18" t="s">
        <v>47</v>
      </c>
    </row>
    <row r="19" spans="1:33" x14ac:dyDescent="0.3">
      <c r="A19">
        <v>17</v>
      </c>
      <c r="B19" s="2" t="s">
        <v>50</v>
      </c>
      <c r="C19" s="3">
        <v>1</v>
      </c>
      <c r="D19" s="2">
        <v>0</v>
      </c>
      <c r="E19">
        <f t="shared" si="0"/>
        <v>160</v>
      </c>
      <c r="F19" t="s">
        <v>49</v>
      </c>
      <c r="G19">
        <v>10</v>
      </c>
      <c r="H19">
        <v>8</v>
      </c>
      <c r="I19">
        <v>2</v>
      </c>
      <c r="J19" s="1">
        <f t="shared" si="1"/>
        <v>8.4</v>
      </c>
      <c r="K19" t="s">
        <v>37</v>
      </c>
      <c r="L19">
        <f t="shared" si="2"/>
        <v>33.5</v>
      </c>
      <c r="M19">
        <f t="shared" si="3"/>
        <v>2.6475422447827661</v>
      </c>
      <c r="N19" s="1">
        <v>0.7</v>
      </c>
      <c r="O19" s="1">
        <f t="shared" si="4"/>
        <v>62.663745416080474</v>
      </c>
      <c r="P19" s="1">
        <f t="shared" si="5"/>
        <v>56.609831020868938</v>
      </c>
      <c r="Q19" s="1">
        <f t="shared" si="6"/>
        <v>57.524577552172346</v>
      </c>
      <c r="R19" s="1">
        <v>0.4</v>
      </c>
      <c r="S19" s="1">
        <f t="shared" si="7"/>
        <v>396.19662041737865</v>
      </c>
      <c r="T19" s="1" t="s">
        <v>38</v>
      </c>
      <c r="U19" t="s">
        <v>39</v>
      </c>
      <c r="V19">
        <v>55</v>
      </c>
      <c r="W19" t="s">
        <v>40</v>
      </c>
      <c r="X19" t="s">
        <v>41</v>
      </c>
      <c r="Y19" t="s">
        <v>42</v>
      </c>
      <c r="Z19" t="s">
        <v>42</v>
      </c>
      <c r="AA19" t="s">
        <v>43</v>
      </c>
      <c r="AB19" t="s">
        <v>44</v>
      </c>
      <c r="AC19" t="s">
        <v>45</v>
      </c>
      <c r="AD19">
        <v>5</v>
      </c>
      <c r="AE19" t="s">
        <v>46</v>
      </c>
      <c r="AF19" t="s">
        <v>47</v>
      </c>
      <c r="AG19" t="s">
        <v>47</v>
      </c>
    </row>
    <row r="20" spans="1:33" x14ac:dyDescent="0.3">
      <c r="A20">
        <v>18</v>
      </c>
      <c r="B20" s="2" t="s">
        <v>50</v>
      </c>
      <c r="C20" s="3">
        <v>1</v>
      </c>
      <c r="D20" s="2">
        <v>0</v>
      </c>
      <c r="E20">
        <f t="shared" si="0"/>
        <v>160</v>
      </c>
      <c r="F20" t="s">
        <v>49</v>
      </c>
      <c r="G20">
        <v>10</v>
      </c>
      <c r="H20">
        <v>8</v>
      </c>
      <c r="I20">
        <v>2</v>
      </c>
      <c r="J20" s="1">
        <f t="shared" si="1"/>
        <v>8.4</v>
      </c>
      <c r="K20" t="s">
        <v>37</v>
      </c>
      <c r="L20">
        <f t="shared" si="2"/>
        <v>33.5</v>
      </c>
      <c r="M20">
        <f t="shared" si="3"/>
        <v>2.6475422447827661</v>
      </c>
      <c r="N20" s="1">
        <v>0.7</v>
      </c>
      <c r="O20" s="1">
        <f t="shared" si="4"/>
        <v>62.663745416080474</v>
      </c>
      <c r="P20" s="1">
        <f t="shared" si="5"/>
        <v>56.609831020868938</v>
      </c>
      <c r="Q20" s="1">
        <f t="shared" si="6"/>
        <v>57.524577552172346</v>
      </c>
      <c r="R20" s="1">
        <v>0.4</v>
      </c>
      <c r="S20" s="1">
        <f t="shared" si="7"/>
        <v>396.19662041737865</v>
      </c>
      <c r="T20" s="1" t="s">
        <v>38</v>
      </c>
      <c r="U20" t="s">
        <v>39</v>
      </c>
      <c r="V20">
        <v>55</v>
      </c>
      <c r="W20" t="s">
        <v>40</v>
      </c>
      <c r="X20" t="s">
        <v>41</v>
      </c>
      <c r="Y20" t="s">
        <v>42</v>
      </c>
      <c r="Z20" t="s">
        <v>42</v>
      </c>
      <c r="AA20" t="s">
        <v>43</v>
      </c>
      <c r="AB20" t="s">
        <v>44</v>
      </c>
      <c r="AC20" t="s">
        <v>45</v>
      </c>
      <c r="AD20">
        <v>5</v>
      </c>
      <c r="AE20" t="s">
        <v>46</v>
      </c>
      <c r="AF20" t="s">
        <v>47</v>
      </c>
      <c r="AG20" t="s">
        <v>47</v>
      </c>
    </row>
    <row r="21" spans="1:33" x14ac:dyDescent="0.3">
      <c r="A21">
        <v>19</v>
      </c>
      <c r="B21" s="2" t="s">
        <v>50</v>
      </c>
      <c r="C21" s="3">
        <v>2</v>
      </c>
      <c r="D21" s="2">
        <v>0</v>
      </c>
      <c r="E21">
        <f t="shared" si="0"/>
        <v>160</v>
      </c>
      <c r="F21" t="s">
        <v>49</v>
      </c>
      <c r="G21">
        <v>10</v>
      </c>
      <c r="H21">
        <v>8</v>
      </c>
      <c r="I21">
        <v>2</v>
      </c>
      <c r="J21" s="1">
        <f t="shared" si="1"/>
        <v>8.4</v>
      </c>
      <c r="K21" t="s">
        <v>37</v>
      </c>
      <c r="L21">
        <f t="shared" si="2"/>
        <v>33.5</v>
      </c>
      <c r="M21">
        <f t="shared" si="3"/>
        <v>2.6475422447827661</v>
      </c>
      <c r="N21" s="1">
        <v>0.7</v>
      </c>
      <c r="O21" s="1">
        <f t="shared" si="4"/>
        <v>62.663745416080474</v>
      </c>
      <c r="P21" s="1">
        <f t="shared" si="5"/>
        <v>56.609831020868938</v>
      </c>
      <c r="Q21" s="1">
        <f t="shared" si="6"/>
        <v>57.524577552172346</v>
      </c>
      <c r="R21" s="1">
        <v>0.4</v>
      </c>
      <c r="S21" s="1">
        <f t="shared" si="7"/>
        <v>396.19662041737865</v>
      </c>
      <c r="T21" s="1" t="s">
        <v>38</v>
      </c>
      <c r="U21" t="s">
        <v>39</v>
      </c>
      <c r="V21">
        <v>55</v>
      </c>
      <c r="W21" t="s">
        <v>40</v>
      </c>
      <c r="X21" t="s">
        <v>41</v>
      </c>
      <c r="Y21" t="s">
        <v>42</v>
      </c>
      <c r="Z21" t="s">
        <v>42</v>
      </c>
      <c r="AA21" t="s">
        <v>43</v>
      </c>
      <c r="AB21" t="s">
        <v>44</v>
      </c>
      <c r="AC21" t="s">
        <v>45</v>
      </c>
      <c r="AD21">
        <v>5</v>
      </c>
      <c r="AE21" t="s">
        <v>46</v>
      </c>
      <c r="AF21" t="s">
        <v>47</v>
      </c>
      <c r="AG21" t="s">
        <v>47</v>
      </c>
    </row>
    <row r="22" spans="1:33" x14ac:dyDescent="0.3">
      <c r="A22">
        <v>20</v>
      </c>
      <c r="B22" s="2" t="s">
        <v>50</v>
      </c>
      <c r="C22" s="3">
        <v>2</v>
      </c>
      <c r="D22" s="2">
        <v>0</v>
      </c>
      <c r="E22">
        <f t="shared" si="0"/>
        <v>160</v>
      </c>
      <c r="F22" t="s">
        <v>49</v>
      </c>
      <c r="G22">
        <v>10</v>
      </c>
      <c r="H22">
        <v>8</v>
      </c>
      <c r="I22">
        <v>2</v>
      </c>
      <c r="J22" s="1">
        <f t="shared" si="1"/>
        <v>8.4</v>
      </c>
      <c r="K22" t="s">
        <v>37</v>
      </c>
      <c r="L22">
        <f t="shared" si="2"/>
        <v>33.5</v>
      </c>
      <c r="M22">
        <f t="shared" si="3"/>
        <v>2.6475422447827661</v>
      </c>
      <c r="N22" s="1">
        <v>0.7</v>
      </c>
      <c r="O22" s="1">
        <f t="shared" si="4"/>
        <v>62.663745416080474</v>
      </c>
      <c r="P22" s="1">
        <f t="shared" si="5"/>
        <v>56.609831020868938</v>
      </c>
      <c r="Q22" s="1">
        <f t="shared" si="6"/>
        <v>57.524577552172346</v>
      </c>
      <c r="R22" s="1">
        <v>0.4</v>
      </c>
      <c r="S22" s="1">
        <f t="shared" si="7"/>
        <v>396.19662041737865</v>
      </c>
      <c r="T22" s="1" t="s">
        <v>38</v>
      </c>
      <c r="U22" t="s">
        <v>39</v>
      </c>
      <c r="V22">
        <v>55</v>
      </c>
      <c r="W22" t="s">
        <v>40</v>
      </c>
      <c r="X22" t="s">
        <v>41</v>
      </c>
      <c r="Y22" t="s">
        <v>42</v>
      </c>
      <c r="Z22" t="s">
        <v>42</v>
      </c>
      <c r="AA22" t="s">
        <v>43</v>
      </c>
      <c r="AB22" t="s">
        <v>44</v>
      </c>
      <c r="AC22" t="s">
        <v>45</v>
      </c>
      <c r="AD22">
        <v>5</v>
      </c>
      <c r="AE22" t="s">
        <v>46</v>
      </c>
      <c r="AF22" t="s">
        <v>47</v>
      </c>
      <c r="AG22" t="s">
        <v>47</v>
      </c>
    </row>
    <row r="23" spans="1:33" x14ac:dyDescent="0.3">
      <c r="A23">
        <v>21</v>
      </c>
      <c r="B23" s="2" t="s">
        <v>50</v>
      </c>
      <c r="C23" s="3">
        <v>2</v>
      </c>
      <c r="D23" s="2">
        <v>0</v>
      </c>
      <c r="E23">
        <f t="shared" si="0"/>
        <v>160</v>
      </c>
      <c r="F23" t="s">
        <v>49</v>
      </c>
      <c r="G23">
        <v>10</v>
      </c>
      <c r="H23">
        <v>8</v>
      </c>
      <c r="I23">
        <v>2</v>
      </c>
      <c r="J23" s="1">
        <f t="shared" si="1"/>
        <v>8.4</v>
      </c>
      <c r="K23" t="s">
        <v>37</v>
      </c>
      <c r="L23">
        <f t="shared" si="2"/>
        <v>33.5</v>
      </c>
      <c r="M23">
        <f t="shared" si="3"/>
        <v>2.6475422447827661</v>
      </c>
      <c r="N23" s="1">
        <v>0.7</v>
      </c>
      <c r="O23" s="1">
        <f t="shared" si="4"/>
        <v>62.663745416080474</v>
      </c>
      <c r="P23" s="1">
        <f t="shared" si="5"/>
        <v>56.609831020868938</v>
      </c>
      <c r="Q23" s="1">
        <f t="shared" si="6"/>
        <v>57.524577552172346</v>
      </c>
      <c r="R23" s="1">
        <v>0.4</v>
      </c>
      <c r="S23" s="1">
        <f t="shared" si="7"/>
        <v>396.19662041737865</v>
      </c>
      <c r="T23" s="1" t="s">
        <v>38</v>
      </c>
      <c r="U23" t="s">
        <v>39</v>
      </c>
      <c r="V23">
        <v>55</v>
      </c>
      <c r="W23" t="s">
        <v>40</v>
      </c>
      <c r="X23" t="s">
        <v>41</v>
      </c>
      <c r="Y23" t="s">
        <v>42</v>
      </c>
      <c r="Z23" t="s">
        <v>42</v>
      </c>
      <c r="AA23" t="s">
        <v>43</v>
      </c>
      <c r="AB23" t="s">
        <v>44</v>
      </c>
      <c r="AC23" t="s">
        <v>45</v>
      </c>
      <c r="AD23">
        <v>5</v>
      </c>
      <c r="AE23" t="s">
        <v>46</v>
      </c>
      <c r="AF23" t="s">
        <v>47</v>
      </c>
      <c r="AG23" t="s">
        <v>47</v>
      </c>
    </row>
    <row r="24" spans="1:33" x14ac:dyDescent="0.3">
      <c r="A24">
        <v>22</v>
      </c>
      <c r="B24" s="2" t="s">
        <v>50</v>
      </c>
      <c r="C24" s="3">
        <v>2</v>
      </c>
      <c r="D24" s="2">
        <v>0</v>
      </c>
      <c r="E24">
        <f t="shared" si="0"/>
        <v>160</v>
      </c>
      <c r="F24" t="s">
        <v>49</v>
      </c>
      <c r="G24">
        <v>10</v>
      </c>
      <c r="H24">
        <v>8</v>
      </c>
      <c r="I24">
        <v>2</v>
      </c>
      <c r="J24" s="1">
        <f t="shared" si="1"/>
        <v>8.4</v>
      </c>
      <c r="K24" t="s">
        <v>37</v>
      </c>
      <c r="L24">
        <f t="shared" si="2"/>
        <v>33.5</v>
      </c>
      <c r="M24">
        <f t="shared" si="3"/>
        <v>2.6475422447827661</v>
      </c>
      <c r="N24" s="1">
        <v>0.7</v>
      </c>
      <c r="O24" s="1">
        <f t="shared" si="4"/>
        <v>62.663745416080474</v>
      </c>
      <c r="P24" s="1">
        <f t="shared" si="5"/>
        <v>56.609831020868938</v>
      </c>
      <c r="Q24" s="1">
        <f t="shared" si="6"/>
        <v>57.524577552172346</v>
      </c>
      <c r="R24" s="1">
        <v>0.4</v>
      </c>
      <c r="S24" s="1">
        <f t="shared" si="7"/>
        <v>396.19662041737865</v>
      </c>
      <c r="T24" s="1" t="s">
        <v>38</v>
      </c>
      <c r="U24" t="s">
        <v>39</v>
      </c>
      <c r="V24">
        <v>55</v>
      </c>
      <c r="W24" t="s">
        <v>40</v>
      </c>
      <c r="X24" t="s">
        <v>41</v>
      </c>
      <c r="Y24" t="s">
        <v>42</v>
      </c>
      <c r="Z24" t="s">
        <v>42</v>
      </c>
      <c r="AA24" t="s">
        <v>43</v>
      </c>
      <c r="AB24" t="s">
        <v>44</v>
      </c>
      <c r="AC24" t="s">
        <v>45</v>
      </c>
      <c r="AD24">
        <v>5</v>
      </c>
      <c r="AE24" t="s">
        <v>46</v>
      </c>
      <c r="AF24" t="s">
        <v>47</v>
      </c>
      <c r="AG24" t="s">
        <v>47</v>
      </c>
    </row>
    <row r="25" spans="1:33" x14ac:dyDescent="0.3">
      <c r="A25">
        <v>23</v>
      </c>
      <c r="B25" s="2" t="s">
        <v>50</v>
      </c>
      <c r="C25" s="3">
        <v>2</v>
      </c>
      <c r="D25" s="2">
        <v>0</v>
      </c>
      <c r="E25">
        <f t="shared" si="0"/>
        <v>160</v>
      </c>
      <c r="F25" t="s">
        <v>49</v>
      </c>
      <c r="G25">
        <v>10</v>
      </c>
      <c r="H25">
        <v>8</v>
      </c>
      <c r="I25">
        <v>2</v>
      </c>
      <c r="J25" s="1">
        <f t="shared" si="1"/>
        <v>8.4</v>
      </c>
      <c r="K25" t="s">
        <v>37</v>
      </c>
      <c r="L25">
        <f t="shared" si="2"/>
        <v>33.5</v>
      </c>
      <c r="M25">
        <f t="shared" si="3"/>
        <v>2.6475422447827661</v>
      </c>
      <c r="N25" s="1">
        <v>0.7</v>
      </c>
      <c r="O25" s="1">
        <f t="shared" si="4"/>
        <v>62.663745416080474</v>
      </c>
      <c r="P25" s="1">
        <f t="shared" si="5"/>
        <v>56.609831020868938</v>
      </c>
      <c r="Q25" s="1">
        <f t="shared" si="6"/>
        <v>57.524577552172346</v>
      </c>
      <c r="R25" s="1">
        <v>0.4</v>
      </c>
      <c r="S25" s="1">
        <f t="shared" si="7"/>
        <v>396.19662041737865</v>
      </c>
      <c r="T25" s="1" t="s">
        <v>38</v>
      </c>
      <c r="U25" t="s">
        <v>39</v>
      </c>
      <c r="V25">
        <v>55</v>
      </c>
      <c r="W25" t="s">
        <v>40</v>
      </c>
      <c r="X25" t="s">
        <v>41</v>
      </c>
      <c r="Y25" t="s">
        <v>42</v>
      </c>
      <c r="Z25" t="s">
        <v>42</v>
      </c>
      <c r="AA25" t="s">
        <v>43</v>
      </c>
      <c r="AB25" t="s">
        <v>44</v>
      </c>
      <c r="AC25" t="s">
        <v>45</v>
      </c>
      <c r="AD25">
        <v>5</v>
      </c>
      <c r="AE25" t="s">
        <v>46</v>
      </c>
      <c r="AF25" t="s">
        <v>47</v>
      </c>
      <c r="AG25" t="s">
        <v>47</v>
      </c>
    </row>
    <row r="26" spans="1:33" x14ac:dyDescent="0.3">
      <c r="A26">
        <v>24</v>
      </c>
      <c r="B26" s="2" t="s">
        <v>50</v>
      </c>
      <c r="C26" s="3">
        <v>2</v>
      </c>
      <c r="D26" s="2">
        <v>0</v>
      </c>
      <c r="E26">
        <f t="shared" si="0"/>
        <v>160</v>
      </c>
      <c r="F26" t="s">
        <v>51</v>
      </c>
      <c r="G26">
        <v>10</v>
      </c>
      <c r="H26">
        <v>8</v>
      </c>
      <c r="I26">
        <v>2</v>
      </c>
      <c r="J26" s="1">
        <f t="shared" si="1"/>
        <v>8.4</v>
      </c>
      <c r="K26" t="s">
        <v>37</v>
      </c>
      <c r="L26">
        <f t="shared" si="2"/>
        <v>33.5</v>
      </c>
      <c r="M26">
        <f t="shared" si="3"/>
        <v>2.6475422447827661</v>
      </c>
      <c r="N26" s="1">
        <v>0.7</v>
      </c>
      <c r="O26" s="1">
        <f t="shared" si="4"/>
        <v>62.663745416080474</v>
      </c>
      <c r="P26" s="1">
        <f t="shared" si="5"/>
        <v>56.609831020868938</v>
      </c>
      <c r="Q26" s="1">
        <f t="shared" si="6"/>
        <v>57.524577552172346</v>
      </c>
      <c r="R26" s="1">
        <v>0.4</v>
      </c>
      <c r="S26" s="1">
        <f t="shared" si="7"/>
        <v>396.19662041737865</v>
      </c>
      <c r="T26" s="1" t="s">
        <v>38</v>
      </c>
      <c r="U26" t="s">
        <v>39</v>
      </c>
      <c r="V26">
        <v>55</v>
      </c>
      <c r="W26" t="s">
        <v>40</v>
      </c>
      <c r="X26" t="s">
        <v>41</v>
      </c>
      <c r="Y26" t="s">
        <v>42</v>
      </c>
      <c r="Z26" t="s">
        <v>42</v>
      </c>
      <c r="AA26" t="s">
        <v>43</v>
      </c>
      <c r="AB26" t="s">
        <v>44</v>
      </c>
      <c r="AC26" t="s">
        <v>45</v>
      </c>
      <c r="AD26">
        <v>5</v>
      </c>
      <c r="AE26" t="s">
        <v>46</v>
      </c>
      <c r="AF26" t="s">
        <v>47</v>
      </c>
      <c r="AG26" t="s">
        <v>47</v>
      </c>
    </row>
    <row r="27" spans="1:33" x14ac:dyDescent="0.3">
      <c r="A27">
        <v>25</v>
      </c>
      <c r="B27" s="2" t="s">
        <v>50</v>
      </c>
      <c r="C27" s="3">
        <v>2</v>
      </c>
      <c r="D27" s="2">
        <v>0</v>
      </c>
      <c r="E27">
        <f t="shared" si="0"/>
        <v>160</v>
      </c>
      <c r="F27" t="s">
        <v>51</v>
      </c>
      <c r="G27">
        <v>10</v>
      </c>
      <c r="H27">
        <v>8</v>
      </c>
      <c r="I27">
        <v>2</v>
      </c>
      <c r="J27" s="1">
        <f t="shared" si="1"/>
        <v>8.4</v>
      </c>
      <c r="K27" t="s">
        <v>37</v>
      </c>
      <c r="L27">
        <f t="shared" si="2"/>
        <v>33.5</v>
      </c>
      <c r="M27">
        <f t="shared" si="3"/>
        <v>2.6475422447827661</v>
      </c>
      <c r="N27" s="1">
        <v>0.7</v>
      </c>
      <c r="O27" s="1">
        <f t="shared" si="4"/>
        <v>62.663745416080474</v>
      </c>
      <c r="P27" s="1">
        <f t="shared" si="5"/>
        <v>56.609831020868938</v>
      </c>
      <c r="Q27" s="1">
        <f t="shared" si="6"/>
        <v>57.524577552172346</v>
      </c>
      <c r="R27" s="1">
        <v>0.4</v>
      </c>
      <c r="S27" s="1">
        <f t="shared" si="7"/>
        <v>396.19662041737865</v>
      </c>
      <c r="T27" s="1" t="s">
        <v>38</v>
      </c>
      <c r="U27" t="s">
        <v>39</v>
      </c>
      <c r="V27">
        <v>55</v>
      </c>
      <c r="W27" t="s">
        <v>40</v>
      </c>
      <c r="X27" t="s">
        <v>41</v>
      </c>
      <c r="Y27" t="s">
        <v>42</v>
      </c>
      <c r="Z27" t="s">
        <v>42</v>
      </c>
      <c r="AA27" t="s">
        <v>43</v>
      </c>
      <c r="AB27" t="s">
        <v>44</v>
      </c>
      <c r="AC27" t="s">
        <v>45</v>
      </c>
      <c r="AD27">
        <v>5</v>
      </c>
      <c r="AE27" t="s">
        <v>46</v>
      </c>
      <c r="AF27" t="s">
        <v>47</v>
      </c>
      <c r="AG27" t="s">
        <v>47</v>
      </c>
    </row>
    <row r="28" spans="1:33" x14ac:dyDescent="0.3">
      <c r="A28">
        <v>26</v>
      </c>
      <c r="B28" s="2" t="s">
        <v>50</v>
      </c>
      <c r="C28" s="3">
        <v>2</v>
      </c>
      <c r="D28" s="2">
        <v>0</v>
      </c>
      <c r="E28">
        <f t="shared" si="0"/>
        <v>160</v>
      </c>
      <c r="F28" t="s">
        <v>51</v>
      </c>
      <c r="G28">
        <v>10</v>
      </c>
      <c r="H28">
        <v>8</v>
      </c>
      <c r="I28">
        <v>2</v>
      </c>
      <c r="J28" s="1">
        <f t="shared" si="1"/>
        <v>8.4</v>
      </c>
      <c r="K28" t="s">
        <v>37</v>
      </c>
      <c r="L28">
        <f t="shared" si="2"/>
        <v>33.5</v>
      </c>
      <c r="M28">
        <f t="shared" si="3"/>
        <v>2.6475422447827661</v>
      </c>
      <c r="N28" s="1">
        <v>0.7</v>
      </c>
      <c r="O28" s="1">
        <f t="shared" si="4"/>
        <v>62.663745416080474</v>
      </c>
      <c r="P28" s="1">
        <f t="shared" si="5"/>
        <v>56.609831020868938</v>
      </c>
      <c r="Q28" s="1">
        <f t="shared" si="6"/>
        <v>57.524577552172346</v>
      </c>
      <c r="R28" s="1">
        <v>0.4</v>
      </c>
      <c r="S28" s="1">
        <f t="shared" si="7"/>
        <v>396.19662041737865</v>
      </c>
      <c r="T28" s="1" t="s">
        <v>38</v>
      </c>
      <c r="U28" t="s">
        <v>39</v>
      </c>
      <c r="V28">
        <v>55</v>
      </c>
      <c r="W28" t="s">
        <v>40</v>
      </c>
      <c r="X28" t="s">
        <v>41</v>
      </c>
      <c r="Y28" t="s">
        <v>42</v>
      </c>
      <c r="Z28" t="s">
        <v>42</v>
      </c>
      <c r="AA28" t="s">
        <v>43</v>
      </c>
      <c r="AB28" t="s">
        <v>44</v>
      </c>
      <c r="AC28" t="s">
        <v>45</v>
      </c>
      <c r="AD28">
        <v>5</v>
      </c>
      <c r="AE28" t="s">
        <v>46</v>
      </c>
      <c r="AF28" t="s">
        <v>47</v>
      </c>
      <c r="AG28" t="s">
        <v>47</v>
      </c>
    </row>
    <row r="29" spans="1:33" x14ac:dyDescent="0.3">
      <c r="A29">
        <v>27</v>
      </c>
      <c r="B29" s="2" t="s">
        <v>50</v>
      </c>
      <c r="C29" s="3">
        <v>2</v>
      </c>
      <c r="D29" s="2">
        <v>0</v>
      </c>
      <c r="E29">
        <f t="shared" si="0"/>
        <v>160</v>
      </c>
      <c r="F29" t="s">
        <v>51</v>
      </c>
      <c r="G29">
        <v>10</v>
      </c>
      <c r="H29">
        <v>8</v>
      </c>
      <c r="I29">
        <v>2</v>
      </c>
      <c r="J29" s="1">
        <f t="shared" si="1"/>
        <v>8.4</v>
      </c>
      <c r="K29" t="s">
        <v>37</v>
      </c>
      <c r="L29">
        <f t="shared" si="2"/>
        <v>33.5</v>
      </c>
      <c r="M29">
        <f t="shared" si="3"/>
        <v>2.6475422447827661</v>
      </c>
      <c r="N29" s="1">
        <v>0.7</v>
      </c>
      <c r="O29" s="1">
        <f t="shared" si="4"/>
        <v>62.663745416080474</v>
      </c>
      <c r="P29" s="1">
        <f t="shared" si="5"/>
        <v>56.609831020868938</v>
      </c>
      <c r="Q29" s="1">
        <f t="shared" si="6"/>
        <v>57.524577552172346</v>
      </c>
      <c r="R29" s="1">
        <v>0.4</v>
      </c>
      <c r="S29" s="1">
        <f t="shared" si="7"/>
        <v>396.19662041737865</v>
      </c>
      <c r="T29" s="1" t="s">
        <v>38</v>
      </c>
      <c r="U29" t="s">
        <v>39</v>
      </c>
      <c r="V29">
        <v>55</v>
      </c>
      <c r="W29" t="s">
        <v>40</v>
      </c>
      <c r="X29" t="s">
        <v>41</v>
      </c>
      <c r="Y29" t="s">
        <v>42</v>
      </c>
      <c r="Z29" t="s">
        <v>42</v>
      </c>
      <c r="AA29" t="s">
        <v>43</v>
      </c>
      <c r="AB29" t="s">
        <v>44</v>
      </c>
      <c r="AC29" t="s">
        <v>45</v>
      </c>
      <c r="AD29">
        <v>5</v>
      </c>
      <c r="AE29" t="s">
        <v>46</v>
      </c>
      <c r="AF29" t="s">
        <v>47</v>
      </c>
      <c r="AG29" t="s">
        <v>47</v>
      </c>
    </row>
    <row r="30" spans="1:33" x14ac:dyDescent="0.3">
      <c r="A30">
        <v>28</v>
      </c>
      <c r="B30" s="2" t="s">
        <v>50</v>
      </c>
      <c r="C30" s="3">
        <v>3</v>
      </c>
      <c r="D30" s="2">
        <v>0</v>
      </c>
      <c r="E30">
        <f t="shared" si="0"/>
        <v>160</v>
      </c>
      <c r="F30" t="s">
        <v>51</v>
      </c>
      <c r="G30">
        <v>10</v>
      </c>
      <c r="H30">
        <v>8</v>
      </c>
      <c r="I30">
        <v>2</v>
      </c>
      <c r="J30" s="1">
        <f t="shared" si="1"/>
        <v>8.4</v>
      </c>
      <c r="K30" t="s">
        <v>37</v>
      </c>
      <c r="L30">
        <f t="shared" si="2"/>
        <v>33.5</v>
      </c>
      <c r="M30">
        <f t="shared" si="3"/>
        <v>2.6475422447827661</v>
      </c>
      <c r="N30" s="1">
        <v>0.7</v>
      </c>
      <c r="O30" s="1">
        <f t="shared" si="4"/>
        <v>62.663745416080474</v>
      </c>
      <c r="P30" s="1">
        <f t="shared" si="5"/>
        <v>56.609831020868938</v>
      </c>
      <c r="Q30" s="1">
        <f t="shared" si="6"/>
        <v>57.524577552172346</v>
      </c>
      <c r="R30" s="1">
        <v>0.4</v>
      </c>
      <c r="S30" s="1">
        <f t="shared" si="7"/>
        <v>396.19662041737865</v>
      </c>
      <c r="T30" s="1" t="s">
        <v>38</v>
      </c>
      <c r="U30" t="s">
        <v>39</v>
      </c>
      <c r="V30">
        <v>55</v>
      </c>
      <c r="W30" t="s">
        <v>40</v>
      </c>
      <c r="X30" t="s">
        <v>41</v>
      </c>
      <c r="Y30" t="s">
        <v>42</v>
      </c>
      <c r="Z30" t="s">
        <v>42</v>
      </c>
      <c r="AA30" t="s">
        <v>43</v>
      </c>
      <c r="AB30" t="s">
        <v>44</v>
      </c>
      <c r="AC30" t="s">
        <v>45</v>
      </c>
      <c r="AD30">
        <v>5</v>
      </c>
      <c r="AE30" t="s">
        <v>46</v>
      </c>
      <c r="AF30" t="s">
        <v>47</v>
      </c>
      <c r="AG30" t="s">
        <v>47</v>
      </c>
    </row>
    <row r="31" spans="1:33" x14ac:dyDescent="0.3">
      <c r="A31">
        <v>29</v>
      </c>
      <c r="B31" s="2" t="s">
        <v>50</v>
      </c>
      <c r="C31" s="3">
        <v>3</v>
      </c>
      <c r="D31" s="2">
        <v>0</v>
      </c>
      <c r="E31">
        <f t="shared" si="0"/>
        <v>160</v>
      </c>
      <c r="F31" t="s">
        <v>51</v>
      </c>
      <c r="G31">
        <v>10</v>
      </c>
      <c r="H31">
        <v>8</v>
      </c>
      <c r="I31">
        <v>2</v>
      </c>
      <c r="J31" s="1">
        <f t="shared" si="1"/>
        <v>8.4</v>
      </c>
      <c r="K31" t="s">
        <v>37</v>
      </c>
      <c r="L31">
        <f t="shared" si="2"/>
        <v>33.5</v>
      </c>
      <c r="M31">
        <f t="shared" si="3"/>
        <v>2.6475422447827661</v>
      </c>
      <c r="N31" s="1">
        <v>0.7</v>
      </c>
      <c r="O31" s="1">
        <f t="shared" si="4"/>
        <v>62.663745416080474</v>
      </c>
      <c r="P31" s="1">
        <f t="shared" si="5"/>
        <v>56.609831020868938</v>
      </c>
      <c r="Q31" s="1">
        <f t="shared" si="6"/>
        <v>57.524577552172346</v>
      </c>
      <c r="R31" s="1">
        <v>0.4</v>
      </c>
      <c r="S31" s="1">
        <f t="shared" si="7"/>
        <v>396.19662041737865</v>
      </c>
      <c r="T31" s="1" t="s">
        <v>38</v>
      </c>
      <c r="U31" t="s">
        <v>39</v>
      </c>
      <c r="V31">
        <v>55</v>
      </c>
      <c r="W31" t="s">
        <v>40</v>
      </c>
      <c r="X31" t="s">
        <v>41</v>
      </c>
      <c r="Y31" t="s">
        <v>42</v>
      </c>
      <c r="Z31" t="s">
        <v>42</v>
      </c>
      <c r="AA31" t="s">
        <v>43</v>
      </c>
      <c r="AB31" t="s">
        <v>44</v>
      </c>
      <c r="AC31" t="s">
        <v>45</v>
      </c>
      <c r="AD31">
        <v>5</v>
      </c>
      <c r="AE31" t="s">
        <v>46</v>
      </c>
      <c r="AF31" t="s">
        <v>47</v>
      </c>
      <c r="AG31" t="s">
        <v>47</v>
      </c>
    </row>
    <row r="32" spans="1:33" x14ac:dyDescent="0.3">
      <c r="A32">
        <v>30</v>
      </c>
      <c r="B32" s="2" t="s">
        <v>50</v>
      </c>
      <c r="C32" s="3">
        <v>3</v>
      </c>
      <c r="D32" s="2">
        <v>0</v>
      </c>
      <c r="E32">
        <f t="shared" si="0"/>
        <v>160</v>
      </c>
      <c r="F32" t="s">
        <v>51</v>
      </c>
      <c r="G32">
        <v>10</v>
      </c>
      <c r="H32">
        <v>8</v>
      </c>
      <c r="I32">
        <v>2</v>
      </c>
      <c r="J32" s="1">
        <f t="shared" si="1"/>
        <v>8.4</v>
      </c>
      <c r="K32" t="s">
        <v>37</v>
      </c>
      <c r="L32">
        <f t="shared" si="2"/>
        <v>33.5</v>
      </c>
      <c r="M32">
        <f t="shared" si="3"/>
        <v>2.6475422447827661</v>
      </c>
      <c r="N32" s="1">
        <v>0.7</v>
      </c>
      <c r="O32" s="1">
        <f t="shared" si="4"/>
        <v>62.663745416080474</v>
      </c>
      <c r="P32" s="1">
        <f t="shared" si="5"/>
        <v>56.609831020868938</v>
      </c>
      <c r="Q32" s="1">
        <f t="shared" si="6"/>
        <v>57.524577552172346</v>
      </c>
      <c r="R32" s="1">
        <v>0.4</v>
      </c>
      <c r="S32" s="1">
        <f t="shared" si="7"/>
        <v>396.19662041737865</v>
      </c>
      <c r="T32" s="1" t="s">
        <v>38</v>
      </c>
      <c r="U32" t="s">
        <v>39</v>
      </c>
      <c r="V32">
        <v>55</v>
      </c>
      <c r="W32" t="s">
        <v>40</v>
      </c>
      <c r="X32" t="s">
        <v>41</v>
      </c>
      <c r="Y32" t="s">
        <v>42</v>
      </c>
      <c r="Z32" t="s">
        <v>42</v>
      </c>
      <c r="AA32" t="s">
        <v>43</v>
      </c>
      <c r="AB32" t="s">
        <v>44</v>
      </c>
      <c r="AC32" t="s">
        <v>45</v>
      </c>
      <c r="AD32">
        <v>5</v>
      </c>
      <c r="AE32" t="s">
        <v>46</v>
      </c>
      <c r="AF32" t="s">
        <v>47</v>
      </c>
      <c r="AG32" t="s">
        <v>47</v>
      </c>
    </row>
    <row r="33" spans="1:33" x14ac:dyDescent="0.3">
      <c r="A33">
        <v>31</v>
      </c>
      <c r="B33" s="2" t="s">
        <v>50</v>
      </c>
      <c r="C33" s="3">
        <v>3</v>
      </c>
      <c r="D33" s="2">
        <v>0</v>
      </c>
      <c r="E33">
        <f t="shared" si="0"/>
        <v>160</v>
      </c>
      <c r="F33" t="s">
        <v>51</v>
      </c>
      <c r="G33">
        <v>10</v>
      </c>
      <c r="H33">
        <v>8</v>
      </c>
      <c r="I33">
        <v>2</v>
      </c>
      <c r="J33" s="1">
        <f t="shared" si="1"/>
        <v>8.4</v>
      </c>
      <c r="K33" t="s">
        <v>37</v>
      </c>
      <c r="L33">
        <f t="shared" si="2"/>
        <v>33.5</v>
      </c>
      <c r="M33">
        <f t="shared" si="3"/>
        <v>2.6475422447827661</v>
      </c>
      <c r="N33" s="1">
        <v>0.7</v>
      </c>
      <c r="O33" s="1">
        <f t="shared" si="4"/>
        <v>62.663745416080474</v>
      </c>
      <c r="P33" s="1">
        <f t="shared" si="5"/>
        <v>56.609831020868938</v>
      </c>
      <c r="Q33" s="1">
        <f t="shared" si="6"/>
        <v>57.524577552172346</v>
      </c>
      <c r="R33" s="1">
        <v>0.4</v>
      </c>
      <c r="S33" s="1">
        <f t="shared" si="7"/>
        <v>396.19662041737865</v>
      </c>
      <c r="T33" s="1" t="s">
        <v>38</v>
      </c>
      <c r="U33" t="s">
        <v>39</v>
      </c>
      <c r="V33">
        <v>55</v>
      </c>
      <c r="W33" t="s">
        <v>40</v>
      </c>
      <c r="X33" t="s">
        <v>41</v>
      </c>
      <c r="Y33" t="s">
        <v>42</v>
      </c>
      <c r="Z33" t="s">
        <v>42</v>
      </c>
      <c r="AA33" t="s">
        <v>43</v>
      </c>
      <c r="AB33" t="s">
        <v>44</v>
      </c>
      <c r="AC33" t="s">
        <v>45</v>
      </c>
      <c r="AD33">
        <v>5</v>
      </c>
      <c r="AE33" t="s">
        <v>46</v>
      </c>
      <c r="AF33" t="s">
        <v>47</v>
      </c>
      <c r="AG33" t="s">
        <v>47</v>
      </c>
    </row>
    <row r="34" spans="1:33" x14ac:dyDescent="0.3">
      <c r="A34">
        <v>32</v>
      </c>
      <c r="B34" s="2" t="s">
        <v>50</v>
      </c>
      <c r="C34" s="3">
        <v>3</v>
      </c>
      <c r="D34" s="2">
        <v>0</v>
      </c>
      <c r="E34">
        <f t="shared" si="0"/>
        <v>160</v>
      </c>
      <c r="F34" t="s">
        <v>51</v>
      </c>
      <c r="G34">
        <v>10</v>
      </c>
      <c r="H34">
        <v>8</v>
      </c>
      <c r="I34">
        <v>2</v>
      </c>
      <c r="J34" s="1">
        <f t="shared" si="1"/>
        <v>8.4</v>
      </c>
      <c r="K34" t="s">
        <v>37</v>
      </c>
      <c r="L34">
        <f t="shared" si="2"/>
        <v>33.5</v>
      </c>
      <c r="M34">
        <f t="shared" si="3"/>
        <v>2.6475422447827661</v>
      </c>
      <c r="N34" s="1">
        <v>0.7</v>
      </c>
      <c r="O34" s="1">
        <f t="shared" si="4"/>
        <v>62.663745416080474</v>
      </c>
      <c r="P34" s="1">
        <f t="shared" si="5"/>
        <v>56.609831020868938</v>
      </c>
      <c r="Q34" s="1">
        <f t="shared" si="6"/>
        <v>57.524577552172346</v>
      </c>
      <c r="R34" s="1">
        <v>0.4</v>
      </c>
      <c r="S34" s="1">
        <f t="shared" si="7"/>
        <v>396.19662041737865</v>
      </c>
      <c r="T34" s="1" t="s">
        <v>38</v>
      </c>
      <c r="U34" t="s">
        <v>39</v>
      </c>
      <c r="V34">
        <v>55</v>
      </c>
      <c r="W34" t="s">
        <v>40</v>
      </c>
      <c r="X34" t="s">
        <v>41</v>
      </c>
      <c r="Y34" t="s">
        <v>42</v>
      </c>
      <c r="Z34" t="s">
        <v>42</v>
      </c>
      <c r="AA34" t="s">
        <v>43</v>
      </c>
      <c r="AB34" t="s">
        <v>44</v>
      </c>
      <c r="AC34" t="s">
        <v>45</v>
      </c>
      <c r="AD34">
        <v>5</v>
      </c>
      <c r="AE34" t="s">
        <v>46</v>
      </c>
      <c r="AF34" t="s">
        <v>47</v>
      </c>
      <c r="AG34" t="s">
        <v>47</v>
      </c>
    </row>
    <row r="35" spans="1:33" x14ac:dyDescent="0.3">
      <c r="A35">
        <v>33</v>
      </c>
      <c r="B35" s="2" t="s">
        <v>50</v>
      </c>
      <c r="C35" s="3">
        <v>3</v>
      </c>
      <c r="D35" s="2">
        <v>0</v>
      </c>
      <c r="E35">
        <f t="shared" si="0"/>
        <v>160</v>
      </c>
      <c r="F35" t="s">
        <v>51</v>
      </c>
      <c r="G35">
        <v>10</v>
      </c>
      <c r="H35">
        <v>8</v>
      </c>
      <c r="I35">
        <v>2</v>
      </c>
      <c r="J35" s="1">
        <f t="shared" si="1"/>
        <v>8.4</v>
      </c>
      <c r="K35" t="s">
        <v>37</v>
      </c>
      <c r="L35">
        <f t="shared" si="2"/>
        <v>33.5</v>
      </c>
      <c r="M35">
        <f t="shared" si="3"/>
        <v>2.6475422447827661</v>
      </c>
      <c r="N35" s="1">
        <v>0.7</v>
      </c>
      <c r="O35" s="1">
        <f t="shared" si="4"/>
        <v>62.663745416080474</v>
      </c>
      <c r="P35" s="1">
        <f t="shared" si="5"/>
        <v>56.609831020868938</v>
      </c>
      <c r="Q35" s="1">
        <f t="shared" si="6"/>
        <v>57.524577552172346</v>
      </c>
      <c r="R35" s="1">
        <v>0.4</v>
      </c>
      <c r="S35" s="1">
        <f t="shared" si="7"/>
        <v>396.19662041737865</v>
      </c>
      <c r="T35" s="1" t="s">
        <v>38</v>
      </c>
      <c r="U35" t="s">
        <v>39</v>
      </c>
      <c r="V35">
        <v>55</v>
      </c>
      <c r="W35" t="s">
        <v>40</v>
      </c>
      <c r="X35" t="s">
        <v>41</v>
      </c>
      <c r="Y35" t="s">
        <v>42</v>
      </c>
      <c r="Z35" t="s">
        <v>42</v>
      </c>
      <c r="AA35" t="s">
        <v>43</v>
      </c>
      <c r="AB35" t="s">
        <v>44</v>
      </c>
      <c r="AC35" t="s">
        <v>45</v>
      </c>
      <c r="AD35">
        <v>5</v>
      </c>
      <c r="AE35" t="s">
        <v>46</v>
      </c>
      <c r="AF35" t="s">
        <v>47</v>
      </c>
      <c r="AG35" t="s">
        <v>47</v>
      </c>
    </row>
    <row r="36" spans="1:33" x14ac:dyDescent="0.3">
      <c r="A36">
        <v>34</v>
      </c>
      <c r="B36" s="2" t="s">
        <v>50</v>
      </c>
      <c r="C36" s="3">
        <v>4</v>
      </c>
      <c r="D36" s="2">
        <v>0</v>
      </c>
      <c r="E36">
        <f t="shared" si="0"/>
        <v>160</v>
      </c>
      <c r="F36" t="s">
        <v>51</v>
      </c>
      <c r="G36">
        <v>10</v>
      </c>
      <c r="H36">
        <v>8</v>
      </c>
      <c r="I36">
        <v>2</v>
      </c>
      <c r="J36" s="1">
        <f t="shared" si="1"/>
        <v>8.4</v>
      </c>
      <c r="K36" t="s">
        <v>37</v>
      </c>
      <c r="L36">
        <f t="shared" si="2"/>
        <v>33.5</v>
      </c>
      <c r="M36">
        <f t="shared" si="3"/>
        <v>2.6475422447827661</v>
      </c>
      <c r="N36" s="1">
        <v>0.7</v>
      </c>
      <c r="O36" s="1">
        <f t="shared" si="4"/>
        <v>62.663745416080474</v>
      </c>
      <c r="P36" s="1">
        <f t="shared" si="5"/>
        <v>56.609831020868938</v>
      </c>
      <c r="Q36" s="1">
        <f t="shared" si="6"/>
        <v>57.524577552172346</v>
      </c>
      <c r="R36" s="1">
        <v>0.4</v>
      </c>
      <c r="S36" s="1">
        <f t="shared" si="7"/>
        <v>396.19662041737865</v>
      </c>
      <c r="T36" s="1" t="s">
        <v>38</v>
      </c>
      <c r="U36" t="s">
        <v>39</v>
      </c>
      <c r="V36">
        <v>55</v>
      </c>
      <c r="W36" t="s">
        <v>40</v>
      </c>
      <c r="X36" t="s">
        <v>41</v>
      </c>
      <c r="Y36" t="s">
        <v>42</v>
      </c>
      <c r="Z36" t="s">
        <v>42</v>
      </c>
      <c r="AA36" t="s">
        <v>43</v>
      </c>
      <c r="AB36" t="s">
        <v>44</v>
      </c>
      <c r="AC36" t="s">
        <v>45</v>
      </c>
      <c r="AD36">
        <v>5</v>
      </c>
      <c r="AE36" t="s">
        <v>46</v>
      </c>
      <c r="AF36" t="s">
        <v>47</v>
      </c>
      <c r="AG36" t="s">
        <v>47</v>
      </c>
    </row>
    <row r="37" spans="1:33" x14ac:dyDescent="0.3">
      <c r="A37">
        <v>35</v>
      </c>
      <c r="B37" s="2" t="s">
        <v>50</v>
      </c>
      <c r="C37" s="3">
        <v>4</v>
      </c>
      <c r="D37" s="2">
        <v>0</v>
      </c>
      <c r="E37">
        <f t="shared" si="0"/>
        <v>160</v>
      </c>
      <c r="F37" t="s">
        <v>51</v>
      </c>
      <c r="G37">
        <v>10</v>
      </c>
      <c r="H37">
        <v>8</v>
      </c>
      <c r="I37">
        <v>2</v>
      </c>
      <c r="J37" s="1">
        <f t="shared" si="1"/>
        <v>8.4</v>
      </c>
      <c r="K37" t="s">
        <v>37</v>
      </c>
      <c r="L37">
        <f t="shared" si="2"/>
        <v>33.5</v>
      </c>
      <c r="M37">
        <f t="shared" si="3"/>
        <v>2.6475422447827661</v>
      </c>
      <c r="N37" s="1">
        <v>0.7</v>
      </c>
      <c r="O37" s="1">
        <f t="shared" si="4"/>
        <v>62.663745416080474</v>
      </c>
      <c r="P37" s="1">
        <f t="shared" si="5"/>
        <v>56.609831020868938</v>
      </c>
      <c r="Q37" s="1">
        <f t="shared" si="6"/>
        <v>57.524577552172346</v>
      </c>
      <c r="R37" s="1">
        <v>0.4</v>
      </c>
      <c r="S37" s="1">
        <f t="shared" si="7"/>
        <v>396.19662041737865</v>
      </c>
      <c r="T37" s="1" t="s">
        <v>38</v>
      </c>
      <c r="U37" t="s">
        <v>39</v>
      </c>
      <c r="V37">
        <v>55</v>
      </c>
      <c r="W37" t="s">
        <v>40</v>
      </c>
      <c r="X37" t="s">
        <v>41</v>
      </c>
      <c r="Y37" t="s">
        <v>42</v>
      </c>
      <c r="Z37" t="s">
        <v>42</v>
      </c>
      <c r="AA37" t="s">
        <v>43</v>
      </c>
      <c r="AB37" t="s">
        <v>44</v>
      </c>
      <c r="AC37" t="s">
        <v>45</v>
      </c>
      <c r="AD37">
        <v>5</v>
      </c>
      <c r="AE37" t="s">
        <v>46</v>
      </c>
      <c r="AF37" t="s">
        <v>47</v>
      </c>
      <c r="AG37" t="s">
        <v>47</v>
      </c>
    </row>
    <row r="38" spans="1:33" x14ac:dyDescent="0.3">
      <c r="A38">
        <v>36</v>
      </c>
      <c r="B38" s="2" t="s">
        <v>50</v>
      </c>
      <c r="C38" s="3">
        <v>4</v>
      </c>
      <c r="D38" s="2">
        <v>0</v>
      </c>
      <c r="E38">
        <f t="shared" si="0"/>
        <v>160</v>
      </c>
      <c r="F38" t="s">
        <v>36</v>
      </c>
      <c r="G38">
        <v>10</v>
      </c>
      <c r="H38">
        <v>8</v>
      </c>
      <c r="I38">
        <v>2</v>
      </c>
      <c r="J38" s="1">
        <f t="shared" si="1"/>
        <v>8.4</v>
      </c>
      <c r="K38" t="s">
        <v>37</v>
      </c>
      <c r="L38">
        <f t="shared" si="2"/>
        <v>33.5</v>
      </c>
      <c r="M38">
        <f t="shared" si="3"/>
        <v>2.6475422447827661</v>
      </c>
      <c r="N38" s="1">
        <v>0.7</v>
      </c>
      <c r="O38" s="1">
        <f t="shared" si="4"/>
        <v>62.663745416080474</v>
      </c>
      <c r="P38" s="1">
        <f t="shared" si="5"/>
        <v>56.609831020868938</v>
      </c>
      <c r="Q38" s="1">
        <f t="shared" si="6"/>
        <v>57.524577552172346</v>
      </c>
      <c r="R38" s="1">
        <v>0.4</v>
      </c>
      <c r="S38" s="1">
        <f t="shared" si="7"/>
        <v>396.19662041737865</v>
      </c>
      <c r="T38" s="1" t="s">
        <v>38</v>
      </c>
      <c r="U38" t="s">
        <v>39</v>
      </c>
      <c r="V38">
        <v>55</v>
      </c>
      <c r="W38" t="s">
        <v>40</v>
      </c>
      <c r="X38" t="s">
        <v>41</v>
      </c>
      <c r="Y38" t="s">
        <v>42</v>
      </c>
      <c r="Z38" t="s">
        <v>42</v>
      </c>
      <c r="AA38" t="s">
        <v>43</v>
      </c>
      <c r="AB38" t="s">
        <v>44</v>
      </c>
      <c r="AC38" t="s">
        <v>45</v>
      </c>
      <c r="AD38">
        <v>5</v>
      </c>
      <c r="AE38" t="s">
        <v>46</v>
      </c>
      <c r="AF38" t="s">
        <v>47</v>
      </c>
      <c r="AG38" t="s">
        <v>47</v>
      </c>
    </row>
    <row r="39" spans="1:33" x14ac:dyDescent="0.3">
      <c r="A39">
        <v>37</v>
      </c>
      <c r="B39" s="2" t="s">
        <v>50</v>
      </c>
      <c r="C39" s="3">
        <v>4</v>
      </c>
      <c r="D39" s="2">
        <v>0</v>
      </c>
      <c r="E39">
        <f t="shared" si="0"/>
        <v>160</v>
      </c>
      <c r="F39" t="s">
        <v>36</v>
      </c>
      <c r="G39">
        <v>10</v>
      </c>
      <c r="H39">
        <v>8</v>
      </c>
      <c r="I39">
        <v>2</v>
      </c>
      <c r="J39" s="1">
        <f t="shared" si="1"/>
        <v>8.4</v>
      </c>
      <c r="K39" t="s">
        <v>37</v>
      </c>
      <c r="L39">
        <f t="shared" si="2"/>
        <v>33.5</v>
      </c>
      <c r="M39">
        <f t="shared" si="3"/>
        <v>2.6475422447827661</v>
      </c>
      <c r="N39" s="1">
        <v>0.7</v>
      </c>
      <c r="O39" s="1">
        <f t="shared" si="4"/>
        <v>62.663745416080474</v>
      </c>
      <c r="P39" s="1">
        <f t="shared" si="5"/>
        <v>56.609831020868938</v>
      </c>
      <c r="Q39" s="1">
        <f t="shared" si="6"/>
        <v>57.524577552172346</v>
      </c>
      <c r="R39" s="1">
        <v>0.4</v>
      </c>
      <c r="S39" s="1">
        <f t="shared" si="7"/>
        <v>396.19662041737865</v>
      </c>
      <c r="T39" s="1" t="s">
        <v>38</v>
      </c>
      <c r="U39" t="s">
        <v>39</v>
      </c>
      <c r="V39">
        <v>55</v>
      </c>
      <c r="W39" t="s">
        <v>40</v>
      </c>
      <c r="X39" t="s">
        <v>41</v>
      </c>
      <c r="Y39" t="s">
        <v>42</v>
      </c>
      <c r="Z39" t="s">
        <v>42</v>
      </c>
      <c r="AA39" t="s">
        <v>43</v>
      </c>
      <c r="AB39" t="s">
        <v>44</v>
      </c>
      <c r="AC39" t="s">
        <v>45</v>
      </c>
      <c r="AD39">
        <v>5</v>
      </c>
      <c r="AE39" t="s">
        <v>46</v>
      </c>
      <c r="AF39" t="s">
        <v>47</v>
      </c>
      <c r="AG39" t="s">
        <v>47</v>
      </c>
    </row>
    <row r="40" spans="1:33" x14ac:dyDescent="0.3">
      <c r="A40">
        <v>38</v>
      </c>
      <c r="B40" s="2" t="s">
        <v>50</v>
      </c>
      <c r="C40" s="3">
        <v>4</v>
      </c>
      <c r="D40" s="2">
        <v>0</v>
      </c>
      <c r="E40">
        <f t="shared" si="0"/>
        <v>160</v>
      </c>
      <c r="F40" t="s">
        <v>36</v>
      </c>
      <c r="G40">
        <v>10</v>
      </c>
      <c r="H40">
        <v>8</v>
      </c>
      <c r="I40">
        <v>2</v>
      </c>
      <c r="J40" s="1">
        <f t="shared" si="1"/>
        <v>8.4</v>
      </c>
      <c r="K40" t="s">
        <v>37</v>
      </c>
      <c r="L40">
        <f t="shared" si="2"/>
        <v>33.5</v>
      </c>
      <c r="M40">
        <f t="shared" si="3"/>
        <v>2.6475422447827661</v>
      </c>
      <c r="N40" s="1">
        <v>0.7</v>
      </c>
      <c r="O40" s="1">
        <f t="shared" si="4"/>
        <v>62.663745416080474</v>
      </c>
      <c r="P40" s="1">
        <f t="shared" si="5"/>
        <v>56.609831020868938</v>
      </c>
      <c r="Q40" s="1">
        <f t="shared" si="6"/>
        <v>57.524577552172346</v>
      </c>
      <c r="R40" s="1">
        <v>0.4</v>
      </c>
      <c r="S40" s="1">
        <f t="shared" si="7"/>
        <v>396.19662041737865</v>
      </c>
      <c r="T40" s="1" t="s">
        <v>38</v>
      </c>
      <c r="U40" t="s">
        <v>39</v>
      </c>
      <c r="V40">
        <v>55</v>
      </c>
      <c r="W40" t="s">
        <v>40</v>
      </c>
      <c r="X40" t="s">
        <v>41</v>
      </c>
      <c r="Y40" t="s">
        <v>42</v>
      </c>
      <c r="Z40" t="s">
        <v>42</v>
      </c>
      <c r="AA40" t="s">
        <v>43</v>
      </c>
      <c r="AB40" t="s">
        <v>44</v>
      </c>
      <c r="AC40" t="s">
        <v>45</v>
      </c>
      <c r="AD40">
        <v>5</v>
      </c>
      <c r="AE40" t="s">
        <v>46</v>
      </c>
      <c r="AF40" t="s">
        <v>47</v>
      </c>
      <c r="AG40" t="s">
        <v>47</v>
      </c>
    </row>
    <row r="41" spans="1:33" x14ac:dyDescent="0.3">
      <c r="A41">
        <v>39</v>
      </c>
      <c r="B41" s="2" t="s">
        <v>50</v>
      </c>
      <c r="C41" s="3">
        <v>4</v>
      </c>
      <c r="D41" s="2">
        <v>0</v>
      </c>
      <c r="E41">
        <f t="shared" si="0"/>
        <v>160</v>
      </c>
      <c r="F41" t="s">
        <v>36</v>
      </c>
      <c r="G41">
        <v>10</v>
      </c>
      <c r="H41">
        <v>8</v>
      </c>
      <c r="I41">
        <v>2</v>
      </c>
      <c r="J41" s="1">
        <f t="shared" si="1"/>
        <v>8.4</v>
      </c>
      <c r="K41" t="s">
        <v>37</v>
      </c>
      <c r="L41">
        <f t="shared" si="2"/>
        <v>33.5</v>
      </c>
      <c r="M41">
        <f t="shared" si="3"/>
        <v>2.6475422447827661</v>
      </c>
      <c r="N41" s="1">
        <v>0.7</v>
      </c>
      <c r="O41" s="1">
        <f t="shared" si="4"/>
        <v>62.663745416080474</v>
      </c>
      <c r="P41" s="1">
        <f t="shared" si="5"/>
        <v>56.609831020868938</v>
      </c>
      <c r="Q41" s="1">
        <f t="shared" si="6"/>
        <v>57.524577552172346</v>
      </c>
      <c r="R41" s="1">
        <v>0.4</v>
      </c>
      <c r="S41" s="1">
        <f t="shared" si="7"/>
        <v>396.19662041737865</v>
      </c>
      <c r="T41" s="1" t="s">
        <v>38</v>
      </c>
      <c r="U41" t="s">
        <v>39</v>
      </c>
      <c r="V41">
        <v>55</v>
      </c>
      <c r="W41" t="s">
        <v>40</v>
      </c>
      <c r="X41" t="s">
        <v>41</v>
      </c>
      <c r="Y41" t="s">
        <v>42</v>
      </c>
      <c r="Z41" t="s">
        <v>42</v>
      </c>
      <c r="AA41" t="s">
        <v>43</v>
      </c>
      <c r="AB41" t="s">
        <v>44</v>
      </c>
      <c r="AC41" t="s">
        <v>45</v>
      </c>
      <c r="AD41">
        <v>5</v>
      </c>
      <c r="AE41" t="s">
        <v>46</v>
      </c>
      <c r="AF41" t="s">
        <v>47</v>
      </c>
      <c r="AG41" t="s">
        <v>47</v>
      </c>
    </row>
    <row r="42" spans="1:33" x14ac:dyDescent="0.3">
      <c r="A42">
        <v>40</v>
      </c>
      <c r="B42" s="2" t="s">
        <v>50</v>
      </c>
      <c r="C42" s="3">
        <v>4</v>
      </c>
      <c r="D42" s="2">
        <v>0</v>
      </c>
      <c r="E42">
        <f t="shared" si="0"/>
        <v>160</v>
      </c>
      <c r="F42" t="s">
        <v>36</v>
      </c>
      <c r="G42">
        <v>10</v>
      </c>
      <c r="H42">
        <v>8</v>
      </c>
      <c r="I42">
        <v>2</v>
      </c>
      <c r="J42" s="1">
        <f t="shared" si="1"/>
        <v>8.4</v>
      </c>
      <c r="K42" t="s">
        <v>37</v>
      </c>
      <c r="L42">
        <f t="shared" si="2"/>
        <v>33.5</v>
      </c>
      <c r="M42">
        <f t="shared" si="3"/>
        <v>2.6475422447827661</v>
      </c>
      <c r="N42" s="1">
        <v>0.7</v>
      </c>
      <c r="O42" s="1">
        <f t="shared" si="4"/>
        <v>62.663745416080474</v>
      </c>
      <c r="P42" s="1">
        <f t="shared" si="5"/>
        <v>56.609831020868938</v>
      </c>
      <c r="Q42" s="1">
        <f t="shared" si="6"/>
        <v>57.524577552172346</v>
      </c>
      <c r="R42" s="1">
        <v>0.4</v>
      </c>
      <c r="S42" s="1">
        <f t="shared" si="7"/>
        <v>396.19662041737865</v>
      </c>
      <c r="T42" s="1" t="s">
        <v>38</v>
      </c>
      <c r="U42" t="s">
        <v>39</v>
      </c>
      <c r="V42">
        <v>55</v>
      </c>
      <c r="W42" t="s">
        <v>40</v>
      </c>
      <c r="X42" t="s">
        <v>41</v>
      </c>
      <c r="Y42" t="s">
        <v>42</v>
      </c>
      <c r="Z42" t="s">
        <v>42</v>
      </c>
      <c r="AA42" t="s">
        <v>43</v>
      </c>
      <c r="AB42" t="s">
        <v>44</v>
      </c>
      <c r="AC42" t="s">
        <v>45</v>
      </c>
      <c r="AD42">
        <v>5</v>
      </c>
      <c r="AE42" t="s">
        <v>46</v>
      </c>
      <c r="AF42" t="s">
        <v>47</v>
      </c>
      <c r="AG42" t="s">
        <v>47</v>
      </c>
    </row>
    <row r="43" spans="1:33" x14ac:dyDescent="0.3">
      <c r="A43">
        <v>41</v>
      </c>
      <c r="B43" s="2" t="s">
        <v>50</v>
      </c>
      <c r="C43" s="3">
        <v>4</v>
      </c>
      <c r="D43" s="2">
        <v>0</v>
      </c>
      <c r="E43">
        <f t="shared" si="0"/>
        <v>160</v>
      </c>
      <c r="F43" t="s">
        <v>36</v>
      </c>
      <c r="G43">
        <v>10</v>
      </c>
      <c r="H43">
        <v>8</v>
      </c>
      <c r="I43">
        <v>2</v>
      </c>
      <c r="J43" s="1">
        <f t="shared" si="1"/>
        <v>8.4</v>
      </c>
      <c r="K43" t="s">
        <v>37</v>
      </c>
      <c r="L43">
        <f t="shared" si="2"/>
        <v>33.5</v>
      </c>
      <c r="M43">
        <f t="shared" si="3"/>
        <v>2.6475422447827661</v>
      </c>
      <c r="N43" s="1">
        <v>0.7</v>
      </c>
      <c r="O43" s="1">
        <f t="shared" si="4"/>
        <v>62.663745416080474</v>
      </c>
      <c r="P43" s="1">
        <f t="shared" si="5"/>
        <v>56.609831020868938</v>
      </c>
      <c r="Q43" s="1">
        <f t="shared" si="6"/>
        <v>57.524577552172346</v>
      </c>
      <c r="R43" s="1">
        <v>0.4</v>
      </c>
      <c r="S43" s="1">
        <f t="shared" si="7"/>
        <v>396.19662041737865</v>
      </c>
      <c r="T43" s="1" t="s">
        <v>38</v>
      </c>
      <c r="U43" t="s">
        <v>39</v>
      </c>
      <c r="V43">
        <v>55</v>
      </c>
      <c r="W43" t="s">
        <v>40</v>
      </c>
      <c r="X43" t="s">
        <v>41</v>
      </c>
      <c r="Y43" t="s">
        <v>42</v>
      </c>
      <c r="Z43" t="s">
        <v>42</v>
      </c>
      <c r="AA43" t="s">
        <v>43</v>
      </c>
      <c r="AB43" t="s">
        <v>44</v>
      </c>
      <c r="AC43" t="s">
        <v>45</v>
      </c>
      <c r="AD43">
        <v>5</v>
      </c>
      <c r="AE43" t="s">
        <v>46</v>
      </c>
      <c r="AF43" t="s">
        <v>47</v>
      </c>
      <c r="AG43" t="s">
        <v>47</v>
      </c>
    </row>
    <row r="44" spans="1:33" x14ac:dyDescent="0.3">
      <c r="A44">
        <v>42</v>
      </c>
      <c r="B44" s="2" t="s">
        <v>50</v>
      </c>
      <c r="C44" s="3">
        <v>5</v>
      </c>
      <c r="D44" s="2">
        <v>0</v>
      </c>
      <c r="E44">
        <f t="shared" si="0"/>
        <v>160</v>
      </c>
      <c r="F44" t="s">
        <v>36</v>
      </c>
      <c r="G44">
        <v>10</v>
      </c>
      <c r="H44">
        <v>8</v>
      </c>
      <c r="I44">
        <v>2</v>
      </c>
      <c r="J44" s="1">
        <f t="shared" si="1"/>
        <v>8.4</v>
      </c>
      <c r="K44" t="s">
        <v>37</v>
      </c>
      <c r="L44">
        <f t="shared" si="2"/>
        <v>33.5</v>
      </c>
      <c r="M44">
        <f t="shared" si="3"/>
        <v>2.6475422447827661</v>
      </c>
      <c r="N44" s="1">
        <v>0.7</v>
      </c>
      <c r="O44" s="1">
        <f t="shared" si="4"/>
        <v>62.663745416080474</v>
      </c>
      <c r="P44" s="1">
        <f t="shared" si="5"/>
        <v>56.609831020868938</v>
      </c>
      <c r="Q44" s="1">
        <f t="shared" si="6"/>
        <v>57.524577552172346</v>
      </c>
      <c r="R44" s="1">
        <v>0.4</v>
      </c>
      <c r="S44" s="1">
        <f t="shared" si="7"/>
        <v>396.19662041737865</v>
      </c>
      <c r="T44" s="1" t="s">
        <v>38</v>
      </c>
      <c r="U44" t="s">
        <v>39</v>
      </c>
      <c r="V44">
        <v>55</v>
      </c>
      <c r="W44" t="s">
        <v>40</v>
      </c>
      <c r="X44" t="s">
        <v>41</v>
      </c>
      <c r="Y44" t="s">
        <v>42</v>
      </c>
      <c r="Z44" t="s">
        <v>42</v>
      </c>
      <c r="AA44" t="s">
        <v>43</v>
      </c>
      <c r="AB44" t="s">
        <v>44</v>
      </c>
      <c r="AC44" t="s">
        <v>45</v>
      </c>
      <c r="AD44">
        <v>5</v>
      </c>
      <c r="AE44" t="s">
        <v>46</v>
      </c>
      <c r="AF44" t="s">
        <v>47</v>
      </c>
      <c r="AG44" t="s">
        <v>47</v>
      </c>
    </row>
    <row r="45" spans="1:33" x14ac:dyDescent="0.3">
      <c r="A45">
        <v>43</v>
      </c>
      <c r="B45" s="2" t="s">
        <v>50</v>
      </c>
      <c r="C45" s="3">
        <v>5</v>
      </c>
      <c r="D45" s="2">
        <v>0</v>
      </c>
      <c r="E45">
        <f t="shared" si="0"/>
        <v>160</v>
      </c>
      <c r="F45" t="s">
        <v>48</v>
      </c>
      <c r="G45">
        <v>10</v>
      </c>
      <c r="H45">
        <v>8</v>
      </c>
      <c r="I45">
        <v>2</v>
      </c>
      <c r="J45" s="1">
        <f t="shared" si="1"/>
        <v>8.4</v>
      </c>
      <c r="K45" t="s">
        <v>37</v>
      </c>
      <c r="L45">
        <f t="shared" si="2"/>
        <v>33.5</v>
      </c>
      <c r="M45">
        <f t="shared" si="3"/>
        <v>2.6475422447827661</v>
      </c>
      <c r="N45" s="1">
        <v>0.7</v>
      </c>
      <c r="O45" s="1">
        <f t="shared" si="4"/>
        <v>62.663745416080474</v>
      </c>
      <c r="P45" s="1">
        <f t="shared" si="5"/>
        <v>56.609831020868938</v>
      </c>
      <c r="Q45" s="1">
        <f t="shared" si="6"/>
        <v>57.524577552172346</v>
      </c>
      <c r="R45" s="1">
        <v>0.4</v>
      </c>
      <c r="S45" s="1">
        <f t="shared" si="7"/>
        <v>396.19662041737865</v>
      </c>
      <c r="T45" s="1" t="s">
        <v>38</v>
      </c>
      <c r="U45" t="s">
        <v>39</v>
      </c>
      <c r="V45">
        <v>55</v>
      </c>
      <c r="W45" t="s">
        <v>40</v>
      </c>
      <c r="X45" t="s">
        <v>41</v>
      </c>
      <c r="Y45" t="s">
        <v>42</v>
      </c>
      <c r="Z45" t="s">
        <v>42</v>
      </c>
      <c r="AA45" t="s">
        <v>43</v>
      </c>
      <c r="AB45" t="s">
        <v>44</v>
      </c>
      <c r="AC45" t="s">
        <v>45</v>
      </c>
      <c r="AD45">
        <v>5</v>
      </c>
      <c r="AE45" t="s">
        <v>46</v>
      </c>
      <c r="AF45" t="s">
        <v>47</v>
      </c>
      <c r="AG45" t="s">
        <v>47</v>
      </c>
    </row>
    <row r="46" spans="1:33" x14ac:dyDescent="0.3">
      <c r="A46">
        <v>44</v>
      </c>
      <c r="B46" s="2" t="s">
        <v>50</v>
      </c>
      <c r="C46" s="3">
        <v>5</v>
      </c>
      <c r="D46" s="2">
        <v>0</v>
      </c>
      <c r="E46">
        <f t="shared" si="0"/>
        <v>160</v>
      </c>
      <c r="F46" t="s">
        <v>48</v>
      </c>
      <c r="G46">
        <v>10</v>
      </c>
      <c r="H46">
        <v>8</v>
      </c>
      <c r="I46">
        <v>2</v>
      </c>
      <c r="J46" s="1">
        <f t="shared" si="1"/>
        <v>8.4</v>
      </c>
      <c r="K46" t="s">
        <v>37</v>
      </c>
      <c r="L46">
        <f t="shared" si="2"/>
        <v>33.5</v>
      </c>
      <c r="M46">
        <f t="shared" si="3"/>
        <v>2.6475422447827661</v>
      </c>
      <c r="N46" s="1">
        <v>0.7</v>
      </c>
      <c r="O46" s="1">
        <f t="shared" si="4"/>
        <v>62.663745416080474</v>
      </c>
      <c r="P46" s="1">
        <f t="shared" si="5"/>
        <v>56.609831020868938</v>
      </c>
      <c r="Q46" s="1">
        <f t="shared" si="6"/>
        <v>57.524577552172346</v>
      </c>
      <c r="R46" s="1">
        <v>0.4</v>
      </c>
      <c r="S46" s="1">
        <f t="shared" si="7"/>
        <v>396.19662041737865</v>
      </c>
      <c r="T46" s="1" t="s">
        <v>38</v>
      </c>
      <c r="U46" t="s">
        <v>39</v>
      </c>
      <c r="V46">
        <v>55</v>
      </c>
      <c r="W46" t="s">
        <v>40</v>
      </c>
      <c r="X46" t="s">
        <v>41</v>
      </c>
      <c r="Y46" t="s">
        <v>42</v>
      </c>
      <c r="Z46" t="s">
        <v>42</v>
      </c>
      <c r="AA46" t="s">
        <v>43</v>
      </c>
      <c r="AB46" t="s">
        <v>44</v>
      </c>
      <c r="AC46" t="s">
        <v>45</v>
      </c>
      <c r="AD46">
        <v>5</v>
      </c>
      <c r="AE46" t="s">
        <v>46</v>
      </c>
      <c r="AF46" t="s">
        <v>47</v>
      </c>
      <c r="AG46" t="s">
        <v>47</v>
      </c>
    </row>
    <row r="47" spans="1:33" x14ac:dyDescent="0.3">
      <c r="A47">
        <v>45</v>
      </c>
      <c r="B47" s="2" t="s">
        <v>50</v>
      </c>
      <c r="C47" s="3">
        <v>5</v>
      </c>
      <c r="D47" s="2">
        <v>0</v>
      </c>
      <c r="E47">
        <f t="shared" si="0"/>
        <v>160</v>
      </c>
      <c r="F47" t="s">
        <v>48</v>
      </c>
      <c r="G47">
        <v>10</v>
      </c>
      <c r="H47">
        <v>8</v>
      </c>
      <c r="I47">
        <v>2</v>
      </c>
      <c r="J47" s="1">
        <f t="shared" si="1"/>
        <v>8.4</v>
      </c>
      <c r="K47" t="s">
        <v>37</v>
      </c>
      <c r="L47">
        <f t="shared" si="2"/>
        <v>33.5</v>
      </c>
      <c r="M47">
        <f t="shared" si="3"/>
        <v>2.6475422447827661</v>
      </c>
      <c r="N47" s="1">
        <v>0.7</v>
      </c>
      <c r="O47" s="1">
        <f t="shared" si="4"/>
        <v>62.663745416080474</v>
      </c>
      <c r="P47" s="1">
        <f t="shared" si="5"/>
        <v>56.609831020868938</v>
      </c>
      <c r="Q47" s="1">
        <f t="shared" si="6"/>
        <v>57.524577552172346</v>
      </c>
      <c r="R47" s="1">
        <v>0.4</v>
      </c>
      <c r="S47" s="1">
        <f t="shared" si="7"/>
        <v>396.19662041737865</v>
      </c>
      <c r="T47" s="1" t="s">
        <v>38</v>
      </c>
      <c r="U47" t="s">
        <v>39</v>
      </c>
      <c r="V47">
        <v>55</v>
      </c>
      <c r="W47" t="s">
        <v>40</v>
      </c>
      <c r="X47" t="s">
        <v>41</v>
      </c>
      <c r="Y47" t="s">
        <v>42</v>
      </c>
      <c r="Z47" t="s">
        <v>42</v>
      </c>
      <c r="AA47" t="s">
        <v>43</v>
      </c>
      <c r="AB47" t="s">
        <v>44</v>
      </c>
      <c r="AC47" t="s">
        <v>45</v>
      </c>
      <c r="AD47">
        <v>5</v>
      </c>
      <c r="AE47" t="s">
        <v>46</v>
      </c>
      <c r="AF47" t="s">
        <v>47</v>
      </c>
      <c r="AG47" t="s">
        <v>47</v>
      </c>
    </row>
    <row r="48" spans="1:33" x14ac:dyDescent="0.3">
      <c r="A48">
        <v>46</v>
      </c>
      <c r="B48" s="2" t="s">
        <v>50</v>
      </c>
      <c r="C48" s="3">
        <v>5</v>
      </c>
      <c r="D48" s="2">
        <v>0</v>
      </c>
      <c r="E48">
        <f t="shared" si="0"/>
        <v>160</v>
      </c>
      <c r="F48" t="s">
        <v>48</v>
      </c>
      <c r="G48">
        <v>10</v>
      </c>
      <c r="H48">
        <v>8</v>
      </c>
      <c r="I48">
        <v>2</v>
      </c>
      <c r="J48" s="1">
        <f t="shared" si="1"/>
        <v>8.4</v>
      </c>
      <c r="K48" t="s">
        <v>37</v>
      </c>
      <c r="L48">
        <f t="shared" si="2"/>
        <v>33.5</v>
      </c>
      <c r="M48">
        <f t="shared" si="3"/>
        <v>2.6475422447827661</v>
      </c>
      <c r="N48" s="1">
        <v>0.7</v>
      </c>
      <c r="O48" s="1">
        <f t="shared" si="4"/>
        <v>62.663745416080474</v>
      </c>
      <c r="P48" s="1">
        <f t="shared" si="5"/>
        <v>56.609831020868938</v>
      </c>
      <c r="Q48" s="1">
        <f t="shared" si="6"/>
        <v>57.524577552172346</v>
      </c>
      <c r="R48" s="1">
        <v>0.4</v>
      </c>
      <c r="S48" s="1">
        <f t="shared" si="7"/>
        <v>396.19662041737865</v>
      </c>
      <c r="T48" s="1" t="s">
        <v>38</v>
      </c>
      <c r="U48" t="s">
        <v>39</v>
      </c>
      <c r="V48">
        <v>55</v>
      </c>
      <c r="W48" t="s">
        <v>40</v>
      </c>
      <c r="X48" t="s">
        <v>41</v>
      </c>
      <c r="Y48" t="s">
        <v>42</v>
      </c>
      <c r="Z48" t="s">
        <v>42</v>
      </c>
      <c r="AA48" t="s">
        <v>43</v>
      </c>
      <c r="AB48" t="s">
        <v>44</v>
      </c>
      <c r="AC48" t="s">
        <v>45</v>
      </c>
      <c r="AD48">
        <v>5</v>
      </c>
      <c r="AE48" t="s">
        <v>46</v>
      </c>
      <c r="AF48" t="s">
        <v>47</v>
      </c>
      <c r="AG48" t="s">
        <v>47</v>
      </c>
    </row>
  </sheetData>
  <autoFilter ref="A2:AD48" xr:uid="{C8CC3BB7-EF60-42BF-8333-52E92F886D26}"/>
  <mergeCells count="2">
    <mergeCell ref="U1:AB1"/>
    <mergeCell ref="A1:T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1F7D-8A17-4DB7-9561-EC84055A3C31}">
  <dimension ref="A1:G61"/>
  <sheetViews>
    <sheetView tabSelected="1" topLeftCell="B1" zoomScaleNormal="100" workbookViewId="0">
      <selection activeCell="C23" sqref="C23"/>
    </sheetView>
  </sheetViews>
  <sheetFormatPr baseColWidth="10" defaultRowHeight="14.4" x14ac:dyDescent="0.3"/>
  <cols>
    <col min="1" max="1" width="40.33203125" customWidth="1"/>
    <col min="2" max="2" width="30.5546875" customWidth="1"/>
    <col min="3" max="3" width="25.44140625" customWidth="1"/>
    <col min="4" max="4" width="28.109375" customWidth="1"/>
    <col min="6" max="6" width="25.6640625" customWidth="1"/>
    <col min="7" max="7" width="19.5546875" customWidth="1"/>
  </cols>
  <sheetData>
    <row r="1" spans="1:7" ht="18.75" customHeight="1" x14ac:dyDescent="0.3">
      <c r="A1" s="7" t="s">
        <v>118</v>
      </c>
      <c r="B1" s="8" t="s">
        <v>114</v>
      </c>
      <c r="C1" s="8" t="s">
        <v>52</v>
      </c>
      <c r="D1" s="9" t="s">
        <v>53</v>
      </c>
      <c r="E1" s="8" t="s">
        <v>127</v>
      </c>
      <c r="G1" s="19" t="s">
        <v>116</v>
      </c>
    </row>
    <row r="2" spans="1:7" ht="18.75" customHeight="1" x14ac:dyDescent="0.3">
      <c r="A2" s="14" t="s">
        <v>2</v>
      </c>
      <c r="B2" s="15"/>
      <c r="C2" s="16" t="s">
        <v>54</v>
      </c>
      <c r="D2" s="17" t="s">
        <v>55</v>
      </c>
      <c r="E2" s="20" t="s">
        <v>126</v>
      </c>
      <c r="G2" s="19" t="s">
        <v>54</v>
      </c>
    </row>
    <row r="3" spans="1:7" ht="18.75" customHeight="1" x14ac:dyDescent="0.3">
      <c r="A3" s="4"/>
      <c r="B3" s="5" t="s">
        <v>84</v>
      </c>
      <c r="C3" s="5" t="s">
        <v>75</v>
      </c>
      <c r="D3" s="6" t="s">
        <v>75</v>
      </c>
      <c r="E3" s="20"/>
      <c r="G3" s="19" t="s">
        <v>66</v>
      </c>
    </row>
    <row r="4" spans="1:7" ht="18.75" customHeight="1" x14ac:dyDescent="0.3">
      <c r="A4" s="14" t="s">
        <v>4</v>
      </c>
      <c r="B4" s="15"/>
      <c r="C4" s="16" t="s">
        <v>57</v>
      </c>
      <c r="D4" s="17" t="s">
        <v>58</v>
      </c>
      <c r="E4" s="20" t="s">
        <v>126</v>
      </c>
      <c r="G4" s="19" t="s">
        <v>124</v>
      </c>
    </row>
    <row r="5" spans="1:7" ht="18.75" customHeight="1" x14ac:dyDescent="0.3">
      <c r="A5" s="14" t="s">
        <v>5</v>
      </c>
      <c r="B5" s="15"/>
      <c r="C5" s="16" t="s">
        <v>57</v>
      </c>
      <c r="D5" s="17" t="s">
        <v>58</v>
      </c>
      <c r="E5" s="20" t="s">
        <v>126</v>
      </c>
      <c r="G5" s="21" t="s">
        <v>128</v>
      </c>
    </row>
    <row r="6" spans="1:7" ht="18.75" customHeight="1" x14ac:dyDescent="0.3">
      <c r="A6" s="4"/>
      <c r="B6" s="12" t="s">
        <v>91</v>
      </c>
      <c r="C6" s="5" t="s">
        <v>75</v>
      </c>
      <c r="D6" s="6" t="s">
        <v>75</v>
      </c>
      <c r="E6" s="20"/>
      <c r="G6" s="21" t="s">
        <v>129</v>
      </c>
    </row>
    <row r="7" spans="1:7" ht="18.75" customHeight="1" x14ac:dyDescent="0.3">
      <c r="A7" s="4" t="s">
        <v>7</v>
      </c>
      <c r="B7" s="5"/>
      <c r="C7" s="10" t="s">
        <v>66</v>
      </c>
      <c r="D7" s="11" t="s">
        <v>60</v>
      </c>
      <c r="E7" s="20" t="s">
        <v>126</v>
      </c>
      <c r="G7" s="21" t="s">
        <v>130</v>
      </c>
    </row>
    <row r="8" spans="1:7" ht="18.75" customHeight="1" x14ac:dyDescent="0.3">
      <c r="A8" s="4" t="s">
        <v>8</v>
      </c>
      <c r="B8" s="5"/>
      <c r="C8" s="10" t="s">
        <v>66</v>
      </c>
      <c r="D8" s="11" t="s">
        <v>61</v>
      </c>
      <c r="E8" s="20" t="s">
        <v>126</v>
      </c>
      <c r="G8" s="21" t="s">
        <v>140</v>
      </c>
    </row>
    <row r="9" spans="1:7" ht="18.75" customHeight="1" x14ac:dyDescent="0.3">
      <c r="A9" s="4" t="s">
        <v>9</v>
      </c>
      <c r="B9" s="5"/>
      <c r="C9" s="10" t="s">
        <v>66</v>
      </c>
      <c r="D9" s="11" t="s">
        <v>62</v>
      </c>
      <c r="E9" s="20" t="s">
        <v>126</v>
      </c>
      <c r="G9" s="21" t="s">
        <v>141</v>
      </c>
    </row>
    <row r="10" spans="1:7" ht="18.75" customHeight="1" x14ac:dyDescent="0.3">
      <c r="A10" s="14" t="s">
        <v>10</v>
      </c>
      <c r="B10" s="15"/>
      <c r="C10" s="16" t="s">
        <v>54</v>
      </c>
      <c r="D10" s="17" t="s">
        <v>63</v>
      </c>
      <c r="E10" s="20" t="s">
        <v>126</v>
      </c>
      <c r="G10" s="21" t="s">
        <v>57</v>
      </c>
    </row>
    <row r="11" spans="1:7" ht="18.75" customHeight="1" x14ac:dyDescent="0.3">
      <c r="A11" s="4" t="s">
        <v>11</v>
      </c>
      <c r="B11" s="5"/>
      <c r="C11" s="10" t="s">
        <v>66</v>
      </c>
      <c r="D11" s="11" t="s">
        <v>64</v>
      </c>
      <c r="E11" s="20" t="s">
        <v>126</v>
      </c>
      <c r="G11" s="19" t="s">
        <v>125</v>
      </c>
    </row>
    <row r="12" spans="1:7" ht="18.75" customHeight="1" x14ac:dyDescent="0.3">
      <c r="A12" s="4" t="s">
        <v>12</v>
      </c>
      <c r="B12" s="5"/>
      <c r="C12" s="10" t="s">
        <v>128</v>
      </c>
      <c r="D12" s="11" t="s">
        <v>72</v>
      </c>
      <c r="E12" s="20" t="s">
        <v>126</v>
      </c>
      <c r="G12" s="19" t="s">
        <v>81</v>
      </c>
    </row>
    <row r="13" spans="1:7" ht="18.75" customHeight="1" x14ac:dyDescent="0.3">
      <c r="A13" s="4" t="s">
        <v>13</v>
      </c>
      <c r="B13" s="5"/>
      <c r="C13" s="10" t="s">
        <v>128</v>
      </c>
      <c r="D13" s="11" t="s">
        <v>150</v>
      </c>
      <c r="E13" s="20" t="s">
        <v>126</v>
      </c>
      <c r="G13" s="19" t="s">
        <v>71</v>
      </c>
    </row>
    <row r="14" spans="1:7" ht="18.75" customHeight="1" x14ac:dyDescent="0.3">
      <c r="A14" s="4" t="s">
        <v>14</v>
      </c>
      <c r="B14" s="5"/>
      <c r="C14" s="10" t="s">
        <v>128</v>
      </c>
      <c r="D14" s="11" t="s">
        <v>131</v>
      </c>
      <c r="E14" s="20" t="s">
        <v>126</v>
      </c>
      <c r="G14" s="21" t="s">
        <v>79</v>
      </c>
    </row>
    <row r="15" spans="1:7" ht="18.75" customHeight="1" x14ac:dyDescent="0.3">
      <c r="A15" s="4" t="s">
        <v>15</v>
      </c>
      <c r="B15" s="5"/>
      <c r="C15" s="10" t="s">
        <v>128</v>
      </c>
      <c r="D15" s="11" t="s">
        <v>132</v>
      </c>
      <c r="E15" s="20" t="s">
        <v>126</v>
      </c>
      <c r="G15" s="19" t="s">
        <v>76</v>
      </c>
    </row>
    <row r="16" spans="1:7" ht="18.75" customHeight="1" x14ac:dyDescent="0.3">
      <c r="A16" s="4"/>
      <c r="B16" s="5" t="s">
        <v>110</v>
      </c>
      <c r="C16" s="5" t="s">
        <v>75</v>
      </c>
      <c r="D16" s="6" t="s">
        <v>75</v>
      </c>
      <c r="E16" s="20"/>
      <c r="G16" s="19" t="s">
        <v>78</v>
      </c>
    </row>
    <row r="17" spans="1:7" ht="18.75" customHeight="1" x14ac:dyDescent="0.3">
      <c r="A17" s="4"/>
      <c r="B17" s="5" t="s">
        <v>111</v>
      </c>
      <c r="C17" s="5" t="s">
        <v>75</v>
      </c>
      <c r="D17" s="6" t="s">
        <v>75</v>
      </c>
      <c r="E17" s="20"/>
      <c r="G17" s="22" t="s">
        <v>149</v>
      </c>
    </row>
    <row r="18" spans="1:7" ht="18.75" customHeight="1" x14ac:dyDescent="0.3">
      <c r="A18" s="4"/>
      <c r="B18" s="5" t="s">
        <v>112</v>
      </c>
      <c r="C18" s="5" t="s">
        <v>75</v>
      </c>
      <c r="D18" s="6" t="s">
        <v>75</v>
      </c>
      <c r="E18" s="20"/>
      <c r="G18" s="19" t="s">
        <v>75</v>
      </c>
    </row>
    <row r="19" spans="1:7" ht="18.75" customHeight="1" x14ac:dyDescent="0.3">
      <c r="A19" s="4" t="s">
        <v>19</v>
      </c>
      <c r="B19" s="5"/>
      <c r="C19" s="10" t="s">
        <v>75</v>
      </c>
      <c r="D19" s="11" t="s">
        <v>65</v>
      </c>
      <c r="E19" s="20"/>
    </row>
    <row r="20" spans="1:7" ht="18.75" customHeight="1" x14ac:dyDescent="0.3">
      <c r="A20" s="4" t="s">
        <v>20</v>
      </c>
      <c r="B20" s="5"/>
      <c r="C20" s="10" t="s">
        <v>66</v>
      </c>
      <c r="D20" s="11" t="s">
        <v>67</v>
      </c>
      <c r="E20" s="20" t="s">
        <v>126</v>
      </c>
    </row>
    <row r="21" spans="1:7" ht="18.75" customHeight="1" x14ac:dyDescent="0.3">
      <c r="A21" s="4"/>
      <c r="B21" s="5" t="s">
        <v>113</v>
      </c>
      <c r="C21" s="5" t="s">
        <v>75</v>
      </c>
      <c r="D21" s="6" t="s">
        <v>75</v>
      </c>
      <c r="E21" s="20"/>
    </row>
    <row r="22" spans="1:7" ht="18.75" customHeight="1" x14ac:dyDescent="0.3">
      <c r="A22" s="4" t="s">
        <v>22</v>
      </c>
      <c r="B22" s="5"/>
      <c r="C22" s="10" t="s">
        <v>149</v>
      </c>
      <c r="D22" s="11" t="s">
        <v>69</v>
      </c>
      <c r="E22" s="20" t="s">
        <v>126</v>
      </c>
    </row>
    <row r="23" spans="1:7" ht="18.75" customHeight="1" x14ac:dyDescent="0.3">
      <c r="A23" s="4" t="s">
        <v>23</v>
      </c>
      <c r="B23" s="5"/>
      <c r="C23" s="10" t="s">
        <v>149</v>
      </c>
      <c r="D23" s="11" t="s">
        <v>70</v>
      </c>
      <c r="E23" s="20" t="s">
        <v>126</v>
      </c>
    </row>
    <row r="24" spans="1:7" ht="18.75" customHeight="1" x14ac:dyDescent="0.3">
      <c r="A24" s="4" t="s">
        <v>24</v>
      </c>
      <c r="B24" s="5"/>
      <c r="C24" s="10" t="s">
        <v>71</v>
      </c>
      <c r="D24" s="11" t="s">
        <v>72</v>
      </c>
      <c r="E24" s="20" t="s">
        <v>126</v>
      </c>
    </row>
    <row r="25" spans="1:7" ht="18.75" customHeight="1" x14ac:dyDescent="0.3">
      <c r="A25" s="4" t="s">
        <v>25</v>
      </c>
      <c r="B25" s="5"/>
      <c r="C25" s="10" t="s">
        <v>71</v>
      </c>
      <c r="D25" s="11" t="s">
        <v>73</v>
      </c>
      <c r="E25" s="20" t="s">
        <v>126</v>
      </c>
    </row>
    <row r="26" spans="1:7" ht="18.75" customHeight="1" x14ac:dyDescent="0.3">
      <c r="A26" s="4" t="s">
        <v>26</v>
      </c>
      <c r="B26" s="5"/>
      <c r="C26" s="10" t="s">
        <v>71</v>
      </c>
      <c r="D26" s="11" t="s">
        <v>74</v>
      </c>
      <c r="E26" s="20" t="s">
        <v>126</v>
      </c>
    </row>
    <row r="27" spans="1:7" ht="18.75" customHeight="1" x14ac:dyDescent="0.3">
      <c r="A27" s="4" t="s">
        <v>27</v>
      </c>
      <c r="B27" s="5"/>
      <c r="C27" s="10" t="s">
        <v>71</v>
      </c>
      <c r="D27" s="11" t="s">
        <v>75</v>
      </c>
      <c r="E27" s="20" t="s">
        <v>126</v>
      </c>
    </row>
    <row r="28" spans="1:7" ht="18.75" customHeight="1" x14ac:dyDescent="0.3">
      <c r="A28" s="4" t="s">
        <v>28</v>
      </c>
      <c r="B28" s="5"/>
      <c r="C28" s="10" t="s">
        <v>76</v>
      </c>
      <c r="D28" s="11" t="s">
        <v>77</v>
      </c>
      <c r="E28" s="20" t="s">
        <v>126</v>
      </c>
    </row>
    <row r="29" spans="1:7" ht="18.75" customHeight="1" x14ac:dyDescent="0.3">
      <c r="A29" s="4" t="s">
        <v>29</v>
      </c>
      <c r="B29" s="5"/>
      <c r="C29" s="10" t="s">
        <v>78</v>
      </c>
      <c r="D29" s="11" t="s">
        <v>77</v>
      </c>
      <c r="E29" s="20" t="s">
        <v>126</v>
      </c>
    </row>
    <row r="30" spans="1:7" ht="18.75" customHeight="1" x14ac:dyDescent="0.3">
      <c r="A30" s="4" t="s">
        <v>30</v>
      </c>
      <c r="B30" s="5"/>
      <c r="C30" s="10" t="s">
        <v>149</v>
      </c>
      <c r="D30" s="11" t="s">
        <v>134</v>
      </c>
      <c r="E30" s="20" t="s">
        <v>126</v>
      </c>
    </row>
    <row r="31" spans="1:7" ht="18.75" customHeight="1" x14ac:dyDescent="0.3">
      <c r="A31" s="4" t="s">
        <v>31</v>
      </c>
      <c r="B31" s="5"/>
      <c r="C31" s="10" t="s">
        <v>79</v>
      </c>
      <c r="D31" s="11" t="s">
        <v>80</v>
      </c>
      <c r="E31" s="20" t="s">
        <v>126</v>
      </c>
    </row>
    <row r="32" spans="1:7" ht="18.75" customHeight="1" x14ac:dyDescent="0.3">
      <c r="A32" s="4" t="s">
        <v>32</v>
      </c>
      <c r="B32" s="5"/>
      <c r="C32" s="10" t="s">
        <v>149</v>
      </c>
      <c r="D32" s="11" t="s">
        <v>135</v>
      </c>
      <c r="E32" s="20" t="s">
        <v>126</v>
      </c>
    </row>
    <row r="33" spans="1:5" ht="18.75" customHeight="1" x14ac:dyDescent="0.3">
      <c r="A33" s="4" t="s">
        <v>33</v>
      </c>
      <c r="B33" s="5"/>
      <c r="C33" s="10" t="s">
        <v>81</v>
      </c>
      <c r="D33" s="11" t="s">
        <v>82</v>
      </c>
      <c r="E33" s="20" t="s">
        <v>126</v>
      </c>
    </row>
    <row r="34" spans="1:5" ht="18.75" customHeight="1" x14ac:dyDescent="0.3">
      <c r="A34" s="4" t="s">
        <v>34</v>
      </c>
      <c r="B34" s="5"/>
      <c r="C34" s="10" t="s">
        <v>81</v>
      </c>
      <c r="D34" s="11" t="s">
        <v>83</v>
      </c>
      <c r="E34" s="20" t="s">
        <v>126</v>
      </c>
    </row>
    <row r="35" spans="1:5" ht="18.75" customHeight="1" x14ac:dyDescent="0.3">
      <c r="A35" s="14" t="s">
        <v>3</v>
      </c>
      <c r="B35" s="15" t="s">
        <v>87</v>
      </c>
      <c r="C35" s="16" t="s">
        <v>54</v>
      </c>
      <c r="D35" s="17" t="s">
        <v>56</v>
      </c>
      <c r="E35" s="20" t="s">
        <v>126</v>
      </c>
    </row>
    <row r="36" spans="1:5" ht="18.75" customHeight="1" x14ac:dyDescent="0.3">
      <c r="A36" s="14" t="s">
        <v>6</v>
      </c>
      <c r="B36" s="15" t="s">
        <v>92</v>
      </c>
      <c r="C36" s="16" t="s">
        <v>54</v>
      </c>
      <c r="D36" s="17" t="s">
        <v>59</v>
      </c>
      <c r="E36" s="20" t="s">
        <v>126</v>
      </c>
    </row>
    <row r="37" spans="1:5" ht="18.75" customHeight="1" x14ac:dyDescent="0.3">
      <c r="A37" s="14" t="s">
        <v>21</v>
      </c>
      <c r="B37" s="15" t="s">
        <v>88</v>
      </c>
      <c r="C37" s="16" t="s">
        <v>54</v>
      </c>
      <c r="D37" s="17" t="s">
        <v>68</v>
      </c>
      <c r="E37" s="20" t="s">
        <v>126</v>
      </c>
    </row>
    <row r="38" spans="1:5" ht="18.75" customHeight="1" x14ac:dyDescent="0.3">
      <c r="A38" s="4"/>
      <c r="B38" s="5" t="s">
        <v>86</v>
      </c>
      <c r="C38" s="5" t="s">
        <v>54</v>
      </c>
      <c r="D38" s="6" t="s">
        <v>119</v>
      </c>
      <c r="E38" s="20" t="s">
        <v>126</v>
      </c>
    </row>
    <row r="39" spans="1:5" ht="18.75" customHeight="1" x14ac:dyDescent="0.3">
      <c r="A39" s="14"/>
      <c r="B39" s="15" t="s">
        <v>89</v>
      </c>
      <c r="C39" s="15" t="s">
        <v>54</v>
      </c>
      <c r="D39" s="18" t="s">
        <v>123</v>
      </c>
      <c r="E39" s="20" t="s">
        <v>126</v>
      </c>
    </row>
    <row r="40" spans="1:5" ht="18.75" customHeight="1" x14ac:dyDescent="0.3">
      <c r="A40" s="14"/>
      <c r="B40" s="15" t="s">
        <v>90</v>
      </c>
      <c r="C40" s="15" t="s">
        <v>54</v>
      </c>
      <c r="D40" s="18" t="s">
        <v>123</v>
      </c>
      <c r="E40" s="20" t="s">
        <v>126</v>
      </c>
    </row>
    <row r="41" spans="1:5" ht="18.75" customHeight="1" x14ac:dyDescent="0.3">
      <c r="A41" s="4"/>
      <c r="B41" s="5" t="s">
        <v>108</v>
      </c>
      <c r="C41" s="5" t="s">
        <v>66</v>
      </c>
      <c r="D41" s="6" t="s">
        <v>121</v>
      </c>
      <c r="E41" s="20" t="s">
        <v>126</v>
      </c>
    </row>
    <row r="42" spans="1:5" ht="18.75" customHeight="1" x14ac:dyDescent="0.3">
      <c r="A42" s="4"/>
      <c r="B42" s="12" t="s">
        <v>109</v>
      </c>
      <c r="C42" s="5" t="s">
        <v>66</v>
      </c>
      <c r="D42" s="6" t="s">
        <v>122</v>
      </c>
      <c r="E42" s="20" t="s">
        <v>126</v>
      </c>
    </row>
    <row r="43" spans="1:5" ht="18.75" customHeight="1" x14ac:dyDescent="0.3">
      <c r="A43" s="4"/>
      <c r="B43" s="5" t="s">
        <v>98</v>
      </c>
      <c r="C43" s="5" t="s">
        <v>141</v>
      </c>
      <c r="D43" s="6" t="s">
        <v>137</v>
      </c>
      <c r="E43" s="20" t="s">
        <v>126</v>
      </c>
    </row>
    <row r="44" spans="1:5" ht="18.75" customHeight="1" x14ac:dyDescent="0.3">
      <c r="A44" s="4"/>
      <c r="B44" s="5" t="s">
        <v>107</v>
      </c>
      <c r="C44" s="5" t="s">
        <v>141</v>
      </c>
      <c r="D44" s="6" t="s">
        <v>148</v>
      </c>
      <c r="E44" s="20" t="s">
        <v>126</v>
      </c>
    </row>
    <row r="45" spans="1:5" ht="18.75" customHeight="1" x14ac:dyDescent="0.3">
      <c r="A45" s="4"/>
      <c r="B45" s="5" t="s">
        <v>96</v>
      </c>
      <c r="C45" s="5" t="s">
        <v>130</v>
      </c>
      <c r="D45" s="6" t="s">
        <v>139</v>
      </c>
      <c r="E45" s="20" t="s">
        <v>126</v>
      </c>
    </row>
    <row r="46" spans="1:5" ht="18.75" customHeight="1" x14ac:dyDescent="0.3">
      <c r="A46" s="4"/>
      <c r="B46" s="5" t="s">
        <v>97</v>
      </c>
      <c r="C46" s="5" t="s">
        <v>130</v>
      </c>
      <c r="D46" s="6" t="s">
        <v>138</v>
      </c>
      <c r="E46" s="20" t="s">
        <v>126</v>
      </c>
    </row>
    <row r="47" spans="1:5" ht="18.75" customHeight="1" x14ac:dyDescent="0.3">
      <c r="A47" s="4"/>
      <c r="B47" s="5" t="s">
        <v>103</v>
      </c>
      <c r="C47" s="5" t="s">
        <v>130</v>
      </c>
      <c r="D47" s="6" t="s">
        <v>145</v>
      </c>
      <c r="E47" s="20" t="s">
        <v>126</v>
      </c>
    </row>
    <row r="48" spans="1:5" ht="18.75" customHeight="1" x14ac:dyDescent="0.3">
      <c r="A48" s="4"/>
      <c r="B48" s="5" t="s">
        <v>104</v>
      </c>
      <c r="C48" s="5" t="s">
        <v>130</v>
      </c>
      <c r="D48" s="6" t="s">
        <v>144</v>
      </c>
      <c r="E48" s="20" t="s">
        <v>126</v>
      </c>
    </row>
    <row r="49" spans="1:5" ht="18.75" customHeight="1" x14ac:dyDescent="0.3">
      <c r="A49" s="4" t="s">
        <v>16</v>
      </c>
      <c r="B49" s="5" t="s">
        <v>93</v>
      </c>
      <c r="C49" s="10" t="s">
        <v>128</v>
      </c>
      <c r="D49" s="11" t="s">
        <v>133</v>
      </c>
      <c r="E49" s="20" t="s">
        <v>126</v>
      </c>
    </row>
    <row r="50" spans="1:5" ht="18.75" customHeight="1" x14ac:dyDescent="0.3">
      <c r="A50" s="4"/>
      <c r="B50" s="5" t="s">
        <v>94</v>
      </c>
      <c r="C50" s="5" t="s">
        <v>128</v>
      </c>
      <c r="D50" s="6" t="s">
        <v>136</v>
      </c>
      <c r="E50" s="20" t="s">
        <v>126</v>
      </c>
    </row>
    <row r="51" spans="1:5" ht="18.75" customHeight="1" x14ac:dyDescent="0.3">
      <c r="A51" s="4"/>
      <c r="B51" s="5" t="s">
        <v>99</v>
      </c>
      <c r="C51" s="5" t="s">
        <v>128</v>
      </c>
      <c r="D51" s="6" t="s">
        <v>142</v>
      </c>
      <c r="E51" s="20" t="s">
        <v>126</v>
      </c>
    </row>
    <row r="52" spans="1:5" ht="18.75" customHeight="1" x14ac:dyDescent="0.3">
      <c r="A52" s="4"/>
      <c r="B52" s="5" t="s">
        <v>100</v>
      </c>
      <c r="C52" s="5" t="s">
        <v>128</v>
      </c>
      <c r="D52" s="6" t="s">
        <v>143</v>
      </c>
      <c r="E52" s="20" t="s">
        <v>126</v>
      </c>
    </row>
    <row r="53" spans="1:5" ht="18.75" customHeight="1" x14ac:dyDescent="0.3">
      <c r="A53" s="4"/>
      <c r="B53" s="5" t="s">
        <v>85</v>
      </c>
      <c r="C53" s="10" t="s">
        <v>116</v>
      </c>
      <c r="D53" s="11" t="s">
        <v>117</v>
      </c>
      <c r="E53" s="20" t="s">
        <v>126</v>
      </c>
    </row>
    <row r="54" spans="1:5" ht="18.75" customHeight="1" x14ac:dyDescent="0.3">
      <c r="A54" s="4" t="s">
        <v>17</v>
      </c>
      <c r="B54" s="5" t="s">
        <v>115</v>
      </c>
      <c r="C54" s="10" t="s">
        <v>129</v>
      </c>
      <c r="D54" s="11" t="s">
        <v>137</v>
      </c>
      <c r="E54" s="20" t="s">
        <v>126</v>
      </c>
    </row>
    <row r="55" spans="1:5" ht="18.75" customHeight="1" x14ac:dyDescent="0.3">
      <c r="A55" s="4" t="s">
        <v>18</v>
      </c>
      <c r="B55" s="5" t="s">
        <v>115</v>
      </c>
      <c r="C55" s="10" t="s">
        <v>129</v>
      </c>
      <c r="D55" s="11" t="s">
        <v>137</v>
      </c>
      <c r="E55" s="20" t="s">
        <v>126</v>
      </c>
    </row>
    <row r="56" spans="1:5" ht="18.75" customHeight="1" x14ac:dyDescent="0.3">
      <c r="A56" s="4"/>
      <c r="B56" s="5" t="s">
        <v>95</v>
      </c>
      <c r="C56" s="5" t="s">
        <v>129</v>
      </c>
      <c r="D56" s="6" t="s">
        <v>138</v>
      </c>
      <c r="E56" s="20" t="s">
        <v>126</v>
      </c>
    </row>
    <row r="57" spans="1:5" ht="18.75" customHeight="1" x14ac:dyDescent="0.3">
      <c r="A57" s="4"/>
      <c r="B57" s="13" t="s">
        <v>101</v>
      </c>
      <c r="C57" s="5" t="s">
        <v>129</v>
      </c>
      <c r="D57" s="6" t="s">
        <v>142</v>
      </c>
      <c r="E57" s="20" t="s">
        <v>126</v>
      </c>
    </row>
    <row r="58" spans="1:5" ht="18.75" customHeight="1" x14ac:dyDescent="0.3">
      <c r="A58" s="4"/>
      <c r="B58" s="13" t="s">
        <v>102</v>
      </c>
      <c r="C58" s="5" t="s">
        <v>129</v>
      </c>
      <c r="D58" s="6" t="s">
        <v>144</v>
      </c>
      <c r="E58" s="20" t="s">
        <v>126</v>
      </c>
    </row>
    <row r="59" spans="1:5" ht="18.75" customHeight="1" x14ac:dyDescent="0.3">
      <c r="A59" s="4"/>
      <c r="B59" s="5" t="s">
        <v>120</v>
      </c>
      <c r="C59" s="5" t="s">
        <v>140</v>
      </c>
      <c r="D59" s="6" t="s">
        <v>137</v>
      </c>
      <c r="E59" s="20" t="s">
        <v>126</v>
      </c>
    </row>
    <row r="60" spans="1:5" ht="18.75" customHeight="1" x14ac:dyDescent="0.3">
      <c r="A60" s="4"/>
      <c r="B60" s="5" t="s">
        <v>105</v>
      </c>
      <c r="C60" s="5" t="s">
        <v>140</v>
      </c>
      <c r="D60" s="6" t="s">
        <v>146</v>
      </c>
      <c r="E60" s="20" t="s">
        <v>126</v>
      </c>
    </row>
    <row r="61" spans="1:5" ht="18.75" customHeight="1" x14ac:dyDescent="0.3">
      <c r="A61" s="4"/>
      <c r="B61" s="5" t="s">
        <v>106</v>
      </c>
      <c r="C61" s="5" t="s">
        <v>140</v>
      </c>
      <c r="D61" s="6" t="s">
        <v>147</v>
      </c>
      <c r="E61" s="20" t="s">
        <v>126</v>
      </c>
    </row>
  </sheetData>
  <dataValidations count="1">
    <dataValidation type="list" allowBlank="1" showInputMessage="1" showErrorMessage="1" sqref="C2:C61" xr:uid="{4B8A84A6-64CB-4206-8056-80FCBDA6106B}">
      <formula1>$G$1:$G$18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DC1840974DCB849AFAF588DB0A9568A" ma:contentTypeVersion="2" ma:contentTypeDescription="Ein neues Dokument erstellen." ma:contentTypeScope="" ma:versionID="e167b400d983e224e0dc61fca00a25cf">
  <xsd:schema xmlns:xsd="http://www.w3.org/2001/XMLSchema" xmlns:xs="http://www.w3.org/2001/XMLSchema" xmlns:p="http://schemas.microsoft.com/office/2006/metadata/properties" xmlns:ns2="25a2b286-04b1-4e37-9649-132deef125f9" targetNamespace="http://schemas.microsoft.com/office/2006/metadata/properties" ma:root="true" ma:fieldsID="d49d32553a1ccfa126e7ecc812ddcbfe" ns2:_="">
    <xsd:import namespace="25a2b286-04b1-4e37-9649-132deef1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b286-04b1-4e37-9649-132deef1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DBE9E0-FB31-4E63-9E3F-3D6DFAA5C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2b286-04b1-4e37-9649-132deef1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54A99B-D779-468E-8728-D8BCFE21ED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1D7D32-ED0D-4DA7-BE3B-7E9F8D06059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2022-06-22T17:39:52Z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0x010100ADC1840974DCB849AFAF588DB0A9568A</vt:lpwstr>
  </property>
</Properties>
</file>